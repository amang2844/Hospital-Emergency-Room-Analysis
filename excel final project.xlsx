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an Goswami\Documents\Excel project-hospital\"/>
    </mc:Choice>
  </mc:AlternateContent>
  <xr:revisionPtr revIDLastSave="0" documentId="8_{7898FD2F-C758-4A2A-9349-549A1F776E6A}" xr6:coauthVersionLast="47" xr6:coauthVersionMax="47" xr10:uidLastSave="{00000000-0000-0000-0000-000000000000}"/>
  <bookViews>
    <workbookView xWindow="-108" yWindow="-108" windowWidth="23256" windowHeight="12456" activeTab="1" xr2:uid="{51B504CC-B356-43A9-B4AD-7E1B927DF1BB}"/>
  </bookViews>
  <sheets>
    <sheet name="Pivot report" sheetId="1" r:id="rId1"/>
    <sheet name="Dashboard" sheetId="2" r:id="rId2"/>
    <sheet name="Patient satisfaction score" sheetId="6" r:id="rId3"/>
    <sheet name="Average wait time" sheetId="5" r:id="rId4"/>
    <sheet name="daily no of patient" sheetId="4" r:id="rId5"/>
  </sheets>
  <definedNames>
    <definedName name="Slicer_Date__Month">#N/A</definedName>
    <definedName name="Slicer_Date__Year">#N/A</definedName>
  </definedNames>
  <calcPr calcId="191029"/>
  <pivotCaches>
    <pivotCache cacheId="1059" r:id="rId6"/>
    <pivotCache cacheId="1062" r:id="rId7"/>
    <pivotCache cacheId="1065" r:id="rId8"/>
    <pivotCache cacheId="1068" r:id="rId9"/>
    <pivotCache cacheId="1071" r:id="rId10"/>
    <pivotCache cacheId="1074" r:id="rId11"/>
    <pivotCache cacheId="1077" r:id="rId12"/>
    <pivotCache cacheId="1080" r:id="rId13"/>
    <pivotCache cacheId="1083" r:id="rId14"/>
    <pivotCache cacheId="1086" r:id="rId15"/>
    <pivotCache cacheId="1089" r:id="rId16"/>
    <pivotCache cacheId="1092" r:id="rId17"/>
  </pivotCaches>
  <extLst>
    <ext xmlns:x14="http://schemas.microsoft.com/office/spreadsheetml/2009/9/main" uri="{876F7934-8845-4945-9796-88D515C7AA90}">
      <x14:pivotCaches>
        <pivotCache cacheId="71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31264f0-1487-4687-ab1e-526660f50299" name="Hospital Emergency Room Data" connection="Query - Hospital Emergency Room Data"/>
          <x15:modelTable id="Calender_Table_bfd4a87e-1ad8-4686-97f3-5d3d060a9e1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 l="1"/>
  <c r="B50" i="1"/>
  <c r="C50" i="1"/>
  <c r="B49" i="1"/>
  <c r="C49" i="1"/>
  <c r="A4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800C88-00A7-4F35-9FDD-4FE89AD2CB1B}" name="Query - Calender_Table" description="Connection to the 'Calender_Table' query in the workbook." type="100" refreshedVersion="8" minRefreshableVersion="5">
    <extLst>
      <ext xmlns:x15="http://schemas.microsoft.com/office/spreadsheetml/2010/11/main" uri="{DE250136-89BD-433C-8126-D09CA5730AF9}">
        <x15:connection id="0f17b34f-12b2-4cd2-ae02-7fb5ba8e2076"/>
      </ext>
    </extLst>
  </connection>
  <connection id="2" xr16:uid="{F0170CA8-E71B-4CE9-96CB-EB3E00D1536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f849968-b363-4ada-9625-19eb047dae49"/>
      </ext>
    </extLst>
  </connection>
  <connection id="3" xr16:uid="{851637E0-F6A3-4030-A8EC-96D3A0334D9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<sst xmlns="http://schemas.openxmlformats.org/spreadsheetml/2006/main" count="59" uniqueCount="37">
  <si>
    <t>Count of Patient Id</t>
  </si>
  <si>
    <t>Distinct Count of Patient Id</t>
  </si>
  <si>
    <t>Average of Patient Waittime</t>
  </si>
  <si>
    <t>Average of Patient Satisfaction Score</t>
  </si>
  <si>
    <t>Row Labels</t>
  </si>
  <si>
    <t>Grand Total</t>
  </si>
  <si>
    <t>2024</t>
  </si>
  <si>
    <t>daily trends no of patients</t>
  </si>
  <si>
    <t>Count of Patient attend status</t>
  </si>
  <si>
    <t>Admitted</t>
  </si>
  <si>
    <t>Not Admitted</t>
  </si>
  <si>
    <t>Delay</t>
  </si>
  <si>
    <t>Ontime</t>
  </si>
  <si>
    <t>Count of Patient Admission Flag</t>
  </si>
  <si>
    <t>Admission Status</t>
  </si>
  <si>
    <t>% Status</t>
  </si>
  <si>
    <t>No ofPatient</t>
  </si>
  <si>
    <t>No.of Patient</t>
  </si>
  <si>
    <t>0-09</t>
  </si>
  <si>
    <t>10-19</t>
  </si>
  <si>
    <t>20-29</t>
  </si>
  <si>
    <t>30-39</t>
  </si>
  <si>
    <t>40-49</t>
  </si>
  <si>
    <t>50-59</t>
  </si>
  <si>
    <t>60-69</t>
  </si>
  <si>
    <t>70-79</t>
  </si>
  <si>
    <t>Count of Age Group</t>
  </si>
  <si>
    <t>Female</t>
  </si>
  <si>
    <t>Male</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</si>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</sst>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theme="3" tint="0.499984740745262"/>
      <name val="Aptos Narrow"/>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34998626667073579"/>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14" fontId="0" fillId="0" borderId="0" xfId="0" applyNumberFormat="1" applyAlignment="1">
      <alignment horizontal="left"/>
    </xf>
    <xf numFmtId="0" fontId="0" fillId="0" borderId="0" xfId="0" applyAlignment="1">
      <alignment horizontal="left"/>
    </xf>
    <xf numFmtId="0" fontId="2" fillId="3" borderId="0" xfId="0" applyFont="1" applyFill="1"/>
    <xf numFmtId="0" fontId="0" fillId="3" borderId="0" xfId="0" applyFill="1"/>
    <xf numFmtId="1" fontId="0" fillId="0" borderId="0" xfId="0" applyNumberFormat="1"/>
    <xf numFmtId="10" fontId="0" fillId="0" borderId="0" xfId="0" applyNumberFormat="1"/>
    <xf numFmtId="0" fontId="0" fillId="0" borderId="0" xfId="0" applyAlignment="1">
      <alignment horizontal="center"/>
    </xf>
    <xf numFmtId="0" fontId="0" fillId="4" borderId="0" xfId="0" applyFill="1" applyAlignment="1">
      <alignment horizontal="center"/>
    </xf>
    <xf numFmtId="9" fontId="0" fillId="0" borderId="0" xfId="1" applyFont="1" applyAlignment="1">
      <alignment horizontal="center"/>
    </xf>
  </cellXfs>
  <cellStyles count="2">
    <cellStyle name="Normal" xfId="0" builtinId="0"/>
    <cellStyle name="Percent" xfId="1" builtinId="5"/>
  </cellStyles>
  <dxfs count="68">
    <dxf>
      <font>
        <b/>
        <color theme="1"/>
      </font>
      <border>
        <bottom style="thin">
          <color theme="5"/>
        </bottom>
        <vertical/>
        <horizontal/>
      </border>
    </dxf>
    <dxf>
      <font>
        <color theme="1"/>
      </font>
      <fill>
        <patternFill>
          <fgColor theme="2" tint="-9.9948118533890809E-2"/>
        </patternFill>
      </fill>
      <border diagonalUp="0" diagonalDown="0">
        <left/>
        <right/>
        <top/>
        <bottom/>
        <vertical/>
        <horizontal/>
      </border>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font>
        <b/>
        <color theme="1"/>
      </font>
      <border>
        <bottom style="thin">
          <color theme="4"/>
        </bottom>
        <vertical/>
        <horizontal/>
      </border>
    </dxf>
    <dxf>
      <font>
        <sz val="5"/>
        <color theme="1"/>
      </font>
      <border diagonalUp="0" diagonalDown="0">
        <left/>
        <right/>
        <top/>
        <bottom/>
        <vertical/>
        <horizontal/>
      </border>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s>
  <tableStyles count="2" defaultTableStyle="TableStyleMedium2" defaultPivotStyle="PivotStyleLight16">
    <tableStyle name="SlicerStyleDark2 2" pivot="0" table="0" count="10" xr9:uid="{5D542079-BAA8-4695-8EA2-C9C55E0C1280}">
      <tableStyleElement type="wholeTable" dxfId="1"/>
      <tableStyleElement type="headerRow" dxfId="0"/>
    </tableStyle>
    <tableStyle name="SlicerStyleLight1 2" pivot="0" table="0" count="10" xr9:uid="{BDCCC521-46DF-4E51-8838-954A6FCC71C7}">
      <tableStyleElement type="wholeTable" dxfId="51"/>
      <tableStyleElement type="headerRow" dxfId="50"/>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102725062576E-2"/>
          <c:y val="0.42112569850139708"/>
          <c:w val="0.92720889727493738"/>
          <c:h val="0.48055650138327305"/>
        </c:manualLayout>
      </c:layout>
      <c:areaChart>
        <c:grouping val="standard"/>
        <c:varyColors val="0"/>
        <c:ser>
          <c:idx val="0"/>
          <c:order val="0"/>
          <c:tx>
            <c:strRef>
              <c:f>'Pivot report'!$G$5</c:f>
              <c:strCache>
                <c:ptCount val="1"/>
                <c:pt idx="0">
                  <c:v>Total</c:v>
                </c:pt>
              </c:strCache>
            </c:strRef>
          </c:tx>
          <c:spPr>
            <a:solidFill>
              <a:schemeClr val="accent1"/>
            </a:solidFill>
            <a:ln>
              <a:noFill/>
            </a:ln>
            <a:effectLst/>
          </c:spPr>
          <c:cat>
            <c:strRef>
              <c:f>'Pivot report'!$F$6:$F$37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report'!$G$6:$G$37</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5704-405A-8EF2-4E7AB96707BF}"/>
            </c:ext>
          </c:extLst>
        </c:ser>
        <c:dLbls>
          <c:showLegendKey val="0"/>
          <c:showVal val="0"/>
          <c:showCatName val="0"/>
          <c:showSerName val="0"/>
          <c:showPercent val="0"/>
          <c:showBubbleSize val="0"/>
        </c:dLbls>
        <c:axId val="1907954160"/>
        <c:axId val="1907952720"/>
      </c:areaChart>
      <c:catAx>
        <c:axId val="1907954160"/>
        <c:scaling>
          <c:orientation val="minMax"/>
        </c:scaling>
        <c:delete val="1"/>
        <c:axPos val="b"/>
        <c:numFmt formatCode="General" sourceLinked="1"/>
        <c:majorTickMark val="out"/>
        <c:minorTickMark val="none"/>
        <c:tickLblPos val="nextTo"/>
        <c:crossAx val="1907952720"/>
        <c:crosses val="autoZero"/>
        <c:auto val="1"/>
        <c:lblAlgn val="ctr"/>
        <c:lblOffset val="100"/>
        <c:noMultiLvlLbl val="0"/>
      </c:catAx>
      <c:valAx>
        <c:axId val="1907952720"/>
        <c:scaling>
          <c:orientation val="minMax"/>
        </c:scaling>
        <c:delete val="1"/>
        <c:axPos val="l"/>
        <c:numFmt formatCode="General" sourceLinked="1"/>
        <c:majorTickMark val="none"/>
        <c:minorTickMark val="none"/>
        <c:tickLblPos val="nextTo"/>
        <c:crossAx val="1907954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29300210713095E-2"/>
          <c:y val="0.34810126582278483"/>
          <c:w val="0.97666629699456597"/>
          <c:h val="0.65189873417721522"/>
        </c:manualLayout>
      </c:layout>
      <c:areaChart>
        <c:grouping val="standard"/>
        <c:varyColors val="0"/>
        <c:ser>
          <c:idx val="0"/>
          <c:order val="0"/>
          <c:tx>
            <c:strRef>
              <c:f>'Pivot report'!$L$5</c:f>
              <c:strCache>
                <c:ptCount val="1"/>
                <c:pt idx="0">
                  <c:v>Total</c:v>
                </c:pt>
              </c:strCache>
            </c:strRef>
          </c:tx>
          <c:spPr>
            <a:solidFill>
              <a:schemeClr val="accent1"/>
            </a:solidFill>
            <a:ln>
              <a:noFill/>
            </a:ln>
            <a:effectLst/>
          </c:spPr>
          <c:cat>
            <c:strRef>
              <c:f>'Pivot report'!$K$6:$K$37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report'!$L$6:$L$37</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3C08-4093-9F67-E37058F5FC08}"/>
            </c:ext>
          </c:extLst>
        </c:ser>
        <c:dLbls>
          <c:showLegendKey val="0"/>
          <c:showVal val="0"/>
          <c:showCatName val="0"/>
          <c:showSerName val="0"/>
          <c:showPercent val="0"/>
          <c:showBubbleSize val="0"/>
        </c:dLbls>
        <c:axId val="1907953200"/>
        <c:axId val="1907955120"/>
      </c:areaChart>
      <c:catAx>
        <c:axId val="1907953200"/>
        <c:scaling>
          <c:orientation val="minMax"/>
        </c:scaling>
        <c:delete val="1"/>
        <c:axPos val="b"/>
        <c:numFmt formatCode="General" sourceLinked="1"/>
        <c:majorTickMark val="out"/>
        <c:minorTickMark val="none"/>
        <c:tickLblPos val="nextTo"/>
        <c:crossAx val="1907955120"/>
        <c:crosses val="autoZero"/>
        <c:auto val="1"/>
        <c:lblAlgn val="ctr"/>
        <c:lblOffset val="100"/>
        <c:noMultiLvlLbl val="0"/>
      </c:catAx>
      <c:valAx>
        <c:axId val="1907955120"/>
        <c:scaling>
          <c:orientation val="minMax"/>
        </c:scaling>
        <c:delete val="1"/>
        <c:axPos val="l"/>
        <c:numFmt formatCode="0.00" sourceLinked="1"/>
        <c:majorTickMark val="none"/>
        <c:minorTickMark val="none"/>
        <c:tickLblPos val="nextTo"/>
        <c:crossAx val="190795320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20930232558E-2"/>
          <c:y val="0.3515625"/>
          <c:w val="0.94186046511627908"/>
          <c:h val="0.58984375000000011"/>
        </c:manualLayout>
      </c:layout>
      <c:areaChart>
        <c:grouping val="standard"/>
        <c:varyColors val="0"/>
        <c:ser>
          <c:idx val="0"/>
          <c:order val="0"/>
          <c:tx>
            <c:strRef>
              <c:f>'Pivot report'!$Q$5</c:f>
              <c:strCache>
                <c:ptCount val="1"/>
                <c:pt idx="0">
                  <c:v>Total</c:v>
                </c:pt>
              </c:strCache>
            </c:strRef>
          </c:tx>
          <c:spPr>
            <a:solidFill>
              <a:schemeClr val="accent1"/>
            </a:solidFill>
            <a:ln>
              <a:noFill/>
            </a:ln>
            <a:effectLst/>
          </c:spPr>
          <c:cat>
            <c:strRef>
              <c:f>'Pivot report'!$P$6:$P$37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report'!$Q$6:$Q$37</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904D-4E94-BC4D-BC1D74970137}"/>
            </c:ext>
          </c:extLst>
        </c:ser>
        <c:dLbls>
          <c:showLegendKey val="0"/>
          <c:showVal val="0"/>
          <c:showCatName val="0"/>
          <c:showSerName val="0"/>
          <c:showPercent val="0"/>
          <c:showBubbleSize val="0"/>
        </c:dLbls>
        <c:axId val="10999519"/>
        <c:axId val="10999039"/>
      </c:areaChart>
      <c:catAx>
        <c:axId val="10999519"/>
        <c:scaling>
          <c:orientation val="minMax"/>
        </c:scaling>
        <c:delete val="1"/>
        <c:axPos val="b"/>
        <c:numFmt formatCode="General" sourceLinked="1"/>
        <c:majorTickMark val="out"/>
        <c:minorTickMark val="none"/>
        <c:tickLblPos val="nextTo"/>
        <c:crossAx val="10999039"/>
        <c:crosses val="autoZero"/>
        <c:auto val="1"/>
        <c:lblAlgn val="ctr"/>
        <c:lblOffset val="100"/>
        <c:noMultiLvlLbl val="0"/>
      </c:catAx>
      <c:valAx>
        <c:axId val="10999039"/>
        <c:scaling>
          <c:orientation val="minMax"/>
        </c:scaling>
        <c:delete val="1"/>
        <c:axPos val="l"/>
        <c:numFmt formatCode="0.00" sourceLinked="1"/>
        <c:majorTickMark val="none"/>
        <c:minorTickMark val="none"/>
        <c:tickLblPos val="nextTo"/>
        <c:crossAx val="10999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rgbClr val="292929"/>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189349112426034E-2"/>
          <c:y val="5.7142857142857141E-2"/>
          <c:w val="0.96301775147928981"/>
          <c:h val="0.58402474690663664"/>
        </c:manualLayout>
      </c:layout>
      <c:barChart>
        <c:barDir val="col"/>
        <c:grouping val="clustered"/>
        <c:varyColors val="0"/>
        <c:ser>
          <c:idx val="0"/>
          <c:order val="0"/>
          <c:tx>
            <c:strRef>
              <c:f>'Pivot report'!$B$20</c:f>
              <c:strCache>
                <c:ptCount val="1"/>
                <c:pt idx="0">
                  <c:v>Total</c:v>
                </c:pt>
              </c:strCache>
            </c:strRef>
          </c:tx>
          <c:spPr>
            <a:solidFill>
              <a:schemeClr val="accent1"/>
            </a:solidFill>
            <a:ln w="12700">
              <a:solidFill>
                <a:srgbClr val="292929"/>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report'!$A$21:$A$29</c:f>
              <c:strCache>
                <c:ptCount val="8"/>
                <c:pt idx="0">
                  <c:v>0-09</c:v>
                </c:pt>
                <c:pt idx="1">
                  <c:v>10-19</c:v>
                </c:pt>
                <c:pt idx="2">
                  <c:v>20-29</c:v>
                </c:pt>
                <c:pt idx="3">
                  <c:v>30-39</c:v>
                </c:pt>
                <c:pt idx="4">
                  <c:v>40-49</c:v>
                </c:pt>
                <c:pt idx="5">
                  <c:v>50-59</c:v>
                </c:pt>
                <c:pt idx="6">
                  <c:v>60-69</c:v>
                </c:pt>
                <c:pt idx="7">
                  <c:v>70-79</c:v>
                </c:pt>
              </c:strCache>
            </c:strRef>
          </c:cat>
          <c:val>
            <c:numRef>
              <c:f>'Pivot report'!$B$21:$B$29</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0-5335-42AC-AB98-8E6642719A5E}"/>
            </c:ext>
          </c:extLst>
        </c:ser>
        <c:dLbls>
          <c:showLegendKey val="0"/>
          <c:showVal val="0"/>
          <c:showCatName val="0"/>
          <c:showSerName val="0"/>
          <c:showPercent val="0"/>
          <c:showBubbleSize val="0"/>
        </c:dLbls>
        <c:gapWidth val="219"/>
        <c:overlap val="-27"/>
        <c:axId val="15320687"/>
        <c:axId val="15321647"/>
      </c:barChart>
      <c:catAx>
        <c:axId val="1532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321647"/>
        <c:crosses val="autoZero"/>
        <c:auto val="1"/>
        <c:lblAlgn val="ctr"/>
        <c:lblOffset val="100"/>
        <c:noMultiLvlLbl val="0"/>
      </c:catAx>
      <c:valAx>
        <c:axId val="15321647"/>
        <c:scaling>
          <c:orientation val="minMax"/>
        </c:scaling>
        <c:delete val="1"/>
        <c:axPos val="l"/>
        <c:numFmt formatCode="0" sourceLinked="1"/>
        <c:majorTickMark val="none"/>
        <c:minorTickMark val="none"/>
        <c:tickLblPos val="nextTo"/>
        <c:crossAx val="15320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report!PivotTable10</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712679600616933"/>
          <c:y val="0.18799918436490259"/>
          <c:w val="0.60588386503233482"/>
          <c:h val="0.70243906264704958"/>
        </c:manualLayout>
      </c:layout>
      <c:pieChart>
        <c:varyColors val="1"/>
        <c:ser>
          <c:idx val="0"/>
          <c:order val="0"/>
          <c:tx>
            <c:strRef>
              <c:f>'Pivot report'!$B$53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B1-4EAC-8952-981C7530984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B1-4EAC-8952-981C753098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report'!$A$54:$A$56</c:f>
              <c:strCache>
                <c:ptCount val="2"/>
                <c:pt idx="0">
                  <c:v>Delay</c:v>
                </c:pt>
                <c:pt idx="1">
                  <c:v>Ontime</c:v>
                </c:pt>
              </c:strCache>
            </c:strRef>
          </c:cat>
          <c:val>
            <c:numRef>
              <c:f>'Pivot report'!$B$54:$B$56</c:f>
              <c:numCache>
                <c:formatCode>0</c:formatCode>
                <c:ptCount val="2"/>
                <c:pt idx="0">
                  <c:v>288</c:v>
                </c:pt>
                <c:pt idx="1">
                  <c:v>200</c:v>
                </c:pt>
              </c:numCache>
            </c:numRef>
          </c:val>
          <c:extLst>
            <c:ext xmlns:c16="http://schemas.microsoft.com/office/drawing/2014/chart" uri="{C3380CC4-5D6E-409C-BE32-E72D297353CC}">
              <c16:uniqueId val="{00000004-E9B1-4EAC-8952-981C7530984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5588454149416889"/>
          <c:y val="5.9760956175298807E-2"/>
          <c:w val="0.68823024054982818"/>
          <c:h val="0.138198387552153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report!PivotTable11</c:name>
    <c:fmtId val="3"/>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6980786972473125"/>
          <c:y val="0.18520353313769355"/>
          <c:w val="0.48763221695380726"/>
          <c:h val="0.66037278089316331"/>
        </c:manualLayout>
      </c:layout>
      <c:doughnutChart>
        <c:varyColors val="1"/>
        <c:ser>
          <c:idx val="0"/>
          <c:order val="0"/>
          <c:tx>
            <c:strRef>
              <c:f>'Pivot report'!$C$4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084-4410-9BC8-20564554C82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084-4410-9BC8-20564554C8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report'!$B$5:$B$7</c:f>
              <c:strCache>
                <c:ptCount val="2"/>
                <c:pt idx="0">
                  <c:v>Female</c:v>
                </c:pt>
                <c:pt idx="1">
                  <c:v>Male</c:v>
                </c:pt>
              </c:strCache>
            </c:strRef>
          </c:cat>
          <c:val>
            <c:numRef>
              <c:f>'Pivot report'!$C$5:$C$7</c:f>
              <c:numCache>
                <c:formatCode>General</c:formatCode>
                <c:ptCount val="2"/>
                <c:pt idx="0">
                  <c:v>232</c:v>
                </c:pt>
                <c:pt idx="1">
                  <c:v>256</c:v>
                </c:pt>
              </c:numCache>
            </c:numRef>
          </c:val>
          <c:extLst>
            <c:ext xmlns:c16="http://schemas.microsoft.com/office/drawing/2014/chart" uri="{C3380CC4-5D6E-409C-BE32-E72D297353CC}">
              <c16:uniqueId val="{00000004-C084-4410-9BC8-20564554C82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a:solidFill>
              <a:srgbClr val="29292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85610197546523"/>
          <c:y val="8.4876543209876545E-2"/>
          <c:w val="0.55308888820135205"/>
          <c:h val="0.83024691358024694"/>
        </c:manualLayout>
      </c:layout>
      <c:barChart>
        <c:barDir val="bar"/>
        <c:grouping val="clustered"/>
        <c:varyColors val="0"/>
        <c:ser>
          <c:idx val="0"/>
          <c:order val="0"/>
          <c:tx>
            <c:strRef>
              <c:f>'Pivot report'!$B$60</c:f>
              <c:strCache>
                <c:ptCount val="1"/>
                <c:pt idx="0">
                  <c:v>Total</c:v>
                </c:pt>
              </c:strCache>
            </c:strRef>
          </c:tx>
          <c:spPr>
            <a:solidFill>
              <a:schemeClr val="accent1"/>
            </a:solidFill>
            <a:ln w="12700">
              <a:solidFill>
                <a:srgbClr val="292929"/>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report'!$B$61:$B$69</c:f>
              <c:numCache>
                <c:formatCode>General</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0-85F1-4F1B-BD44-C8E2F5A3C1B4}"/>
            </c:ext>
          </c:extLst>
        </c:ser>
        <c:dLbls>
          <c:showLegendKey val="0"/>
          <c:showVal val="0"/>
          <c:showCatName val="0"/>
          <c:showSerName val="0"/>
          <c:showPercent val="0"/>
          <c:showBubbleSize val="0"/>
        </c:dLbls>
        <c:gapWidth val="192"/>
        <c:axId val="1903375632"/>
        <c:axId val="1903374672"/>
      </c:barChart>
      <c:catAx>
        <c:axId val="190337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03374672"/>
        <c:crosses val="autoZero"/>
        <c:auto val="1"/>
        <c:lblAlgn val="ctr"/>
        <c:lblOffset val="100"/>
        <c:noMultiLvlLbl val="0"/>
      </c:catAx>
      <c:valAx>
        <c:axId val="1903374672"/>
        <c:scaling>
          <c:orientation val="minMax"/>
        </c:scaling>
        <c:delete val="1"/>
        <c:axPos val="b"/>
        <c:numFmt formatCode="General" sourceLinked="1"/>
        <c:majorTickMark val="none"/>
        <c:minorTickMark val="none"/>
        <c:tickLblPos val="nextTo"/>
        <c:crossAx val="1903375632"/>
        <c:crosses val="autoZero"/>
        <c:crossBetween val="between"/>
      </c:valAx>
      <c:spPr>
        <a:noFill/>
        <a:ln>
          <a:noFill/>
        </a:ln>
        <a:effectLst>
          <a:outerShdw blurRad="50800" dist="50800" dir="5400000" sx="1000" sy="1000" algn="ctr" rotWithShape="0">
            <a:srgbClr val="000000">
              <a:alpha val="43137"/>
            </a:srgbClr>
          </a:outerShdw>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report!PivotTable6</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83720930232558E-2"/>
          <c:y val="0.3515625"/>
          <c:w val="0.94186046511627908"/>
          <c:h val="0.58984375000000011"/>
        </c:manualLayout>
      </c:layout>
      <c:areaChart>
        <c:grouping val="standard"/>
        <c:varyColors val="0"/>
        <c:ser>
          <c:idx val="0"/>
          <c:order val="0"/>
          <c:tx>
            <c:strRef>
              <c:f>'Pivot report'!$Q$5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report'!$P$6:$P$37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report'!$Q$6:$Q$37</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0-5040-494E-8AA2-DC30C51D915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0999519"/>
        <c:axId val="10999039"/>
      </c:areaChart>
      <c:catAx>
        <c:axId val="1099951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999039"/>
        <c:crosses val="autoZero"/>
        <c:auto val="1"/>
        <c:lblAlgn val="ctr"/>
        <c:lblOffset val="100"/>
        <c:noMultiLvlLbl val="0"/>
      </c:catAx>
      <c:valAx>
        <c:axId val="109990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99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report!PivotTable5</c:name>
    <c:fmtId val="1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1">
              <a:alpha val="85000"/>
            </a:schemeClr>
          </a:solidFill>
          <a:ln>
            <a:noFill/>
          </a:ln>
          <a:effectLst>
            <a:innerShdw dist="12700" dir="16200000">
              <a:schemeClr val="lt1"/>
            </a:innerShdw>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29300210713095E-2"/>
          <c:y val="0.34810126582278483"/>
          <c:w val="0.97666629699456597"/>
          <c:h val="0.65189873417721522"/>
        </c:manualLayout>
      </c:layout>
      <c:areaChart>
        <c:grouping val="standard"/>
        <c:varyColors val="0"/>
        <c:ser>
          <c:idx val="0"/>
          <c:order val="0"/>
          <c:tx>
            <c:strRef>
              <c:f>'Pivot report'!$L$5</c:f>
              <c:strCache>
                <c:ptCount val="1"/>
                <c:pt idx="0">
                  <c:v>Total</c:v>
                </c:pt>
              </c:strCache>
            </c:strRef>
          </c:tx>
          <c:spPr>
            <a:solidFill>
              <a:schemeClr val="accent1">
                <a:alpha val="85000"/>
              </a:schemeClr>
            </a:solidFill>
            <a:ln>
              <a:noFill/>
            </a:ln>
            <a:effectLst>
              <a:innerShdw dist="127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report'!$K$6:$K$37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report'!$L$6:$L$37</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0-4304-476A-B38A-C77121FA44C3}"/>
            </c:ext>
          </c:extLst>
        </c:ser>
        <c:dLbls>
          <c:showLegendKey val="0"/>
          <c:showVal val="1"/>
          <c:showCatName val="0"/>
          <c:showSerName val="0"/>
          <c:showPercent val="0"/>
          <c:showBubbleSize val="0"/>
        </c:dLbls>
        <c:axId val="1907953200"/>
        <c:axId val="1907955120"/>
      </c:areaChart>
      <c:catAx>
        <c:axId val="1907953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07955120"/>
        <c:crosses val="autoZero"/>
        <c:auto val="1"/>
        <c:lblAlgn val="ctr"/>
        <c:lblOffset val="100"/>
        <c:noMultiLvlLbl val="0"/>
      </c:catAx>
      <c:valAx>
        <c:axId val="19079551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079532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6468136980507"/>
          <c:y val="8.1340257999664933E-2"/>
          <c:w val="0.765169919518354"/>
          <c:h val="0.57026749315909975"/>
        </c:manualLayout>
      </c:layout>
      <c:areaChart>
        <c:grouping val="standard"/>
        <c:varyColors val="0"/>
        <c:ser>
          <c:idx val="0"/>
          <c:order val="0"/>
          <c:tx>
            <c:strRef>
              <c:f>'Pivot report'!$G$5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report'!$F$6:$F$37</c:f>
              <c:strCache>
                <c:ptCount val="31"/>
                <c:pt idx="0">
                  <c:v>01-07-2024</c:v>
                </c:pt>
                <c:pt idx="1">
                  <c:v>02-07-2024</c:v>
                </c:pt>
                <c:pt idx="2">
                  <c:v>03-07-2024</c:v>
                </c:pt>
                <c:pt idx="3">
                  <c:v>04-07-2024</c:v>
                </c:pt>
                <c:pt idx="4">
                  <c:v>05-07-2024</c:v>
                </c:pt>
                <c:pt idx="5">
                  <c:v>06-07-2024</c:v>
                </c:pt>
                <c:pt idx="6">
                  <c:v>07-07-2024</c:v>
                </c:pt>
                <c:pt idx="7">
                  <c:v>08-07-2024</c:v>
                </c:pt>
                <c:pt idx="8">
                  <c:v>09-07-2024</c:v>
                </c:pt>
                <c:pt idx="9">
                  <c:v>10-07-2024</c:v>
                </c:pt>
                <c:pt idx="10">
                  <c:v>11-07-2024</c:v>
                </c:pt>
                <c:pt idx="11">
                  <c:v>12-07-2024</c:v>
                </c:pt>
                <c:pt idx="12">
                  <c:v>13-07-2024</c:v>
                </c:pt>
                <c:pt idx="13">
                  <c:v>14-07-2024</c:v>
                </c:pt>
                <c:pt idx="14">
                  <c:v>15-07-2024</c:v>
                </c:pt>
                <c:pt idx="15">
                  <c:v>16-07-2024</c:v>
                </c:pt>
                <c:pt idx="16">
                  <c:v>17-07-2024</c:v>
                </c:pt>
                <c:pt idx="17">
                  <c:v>18-07-2024</c:v>
                </c:pt>
                <c:pt idx="18">
                  <c:v>19-07-2024</c:v>
                </c:pt>
                <c:pt idx="19">
                  <c:v>20-07-2024</c:v>
                </c:pt>
                <c:pt idx="20">
                  <c:v>21-07-2024</c:v>
                </c:pt>
                <c:pt idx="21">
                  <c:v>22-07-2024</c:v>
                </c:pt>
                <c:pt idx="22">
                  <c:v>23-07-2024</c:v>
                </c:pt>
                <c:pt idx="23">
                  <c:v>24-07-2024</c:v>
                </c:pt>
                <c:pt idx="24">
                  <c:v>25-07-2024</c:v>
                </c:pt>
                <c:pt idx="25">
                  <c:v>26-07-2024</c:v>
                </c:pt>
                <c:pt idx="26">
                  <c:v>27-07-2024</c:v>
                </c:pt>
                <c:pt idx="27">
                  <c:v>28-07-2024</c:v>
                </c:pt>
                <c:pt idx="28">
                  <c:v>29-07-2024</c:v>
                </c:pt>
                <c:pt idx="29">
                  <c:v>30-07-2024</c:v>
                </c:pt>
                <c:pt idx="30">
                  <c:v>31-07-2024</c:v>
                </c:pt>
              </c:strCache>
            </c:strRef>
          </c:cat>
          <c:val>
            <c:numRef>
              <c:f>'Pivot report'!$G$6:$G$37</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0-EEF8-4F85-A416-974670397AB8}"/>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07954160"/>
        <c:axId val="1907952720"/>
      </c:areaChart>
      <c:catAx>
        <c:axId val="190795416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07952720"/>
        <c:crosses val="autoZero"/>
        <c:auto val="1"/>
        <c:lblAlgn val="ctr"/>
        <c:lblOffset val="100"/>
        <c:noMultiLvlLbl val="0"/>
      </c:catAx>
      <c:valAx>
        <c:axId val="19079527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795416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heet5!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0</xdr:col>
      <xdr:colOff>91440</xdr:colOff>
      <xdr:row>0</xdr:row>
      <xdr:rowOff>76200</xdr:rowOff>
    </xdr:from>
    <xdr:to>
      <xdr:col>4</xdr:col>
      <xdr:colOff>604520</xdr:colOff>
      <xdr:row>3</xdr:row>
      <xdr:rowOff>25400</xdr:rowOff>
    </xdr:to>
    <xdr:sp macro="" textlink="">
      <xdr:nvSpPr>
        <xdr:cNvPr id="2" name="Rectangle: Rounded Corners 1">
          <a:extLst>
            <a:ext uri="{FF2B5EF4-FFF2-40B4-BE49-F238E27FC236}">
              <a16:creationId xmlns:a16="http://schemas.microsoft.com/office/drawing/2014/main" id="{37D83FF5-7E18-1DC4-1D9F-EABAED775A5D}"/>
            </a:ext>
          </a:extLst>
        </xdr:cNvPr>
        <xdr:cNvSpPr/>
      </xdr:nvSpPr>
      <xdr:spPr>
        <a:xfrm>
          <a:off x="91440" y="76200"/>
          <a:ext cx="2951480" cy="497840"/>
        </a:xfrm>
        <a:prstGeom prst="roundRect">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60960</xdr:colOff>
      <xdr:row>0</xdr:row>
      <xdr:rowOff>66040</xdr:rowOff>
    </xdr:from>
    <xdr:to>
      <xdr:col>7</xdr:col>
      <xdr:colOff>35560</xdr:colOff>
      <xdr:row>3</xdr:row>
      <xdr:rowOff>15240</xdr:rowOff>
    </xdr:to>
    <xdr:sp macro="" textlink="">
      <xdr:nvSpPr>
        <xdr:cNvPr id="3" name="Rectangle: Rounded Corners 2">
          <a:extLst>
            <a:ext uri="{FF2B5EF4-FFF2-40B4-BE49-F238E27FC236}">
              <a16:creationId xmlns:a16="http://schemas.microsoft.com/office/drawing/2014/main" id="{4244617F-460A-C6A0-C66F-0B3FC3DB9517}"/>
            </a:ext>
          </a:extLst>
        </xdr:cNvPr>
        <xdr:cNvSpPr/>
      </xdr:nvSpPr>
      <xdr:spPr>
        <a:xfrm>
          <a:off x="3108960" y="66040"/>
          <a:ext cx="1193800" cy="4978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106680</xdr:colOff>
      <xdr:row>0</xdr:row>
      <xdr:rowOff>66040</xdr:rowOff>
    </xdr:from>
    <xdr:to>
      <xdr:col>9</xdr:col>
      <xdr:colOff>81280</xdr:colOff>
      <xdr:row>7</xdr:row>
      <xdr:rowOff>20320</xdr:rowOff>
    </xdr:to>
    <xdr:sp macro="" textlink="">
      <xdr:nvSpPr>
        <xdr:cNvPr id="4" name="Rectangle: Rounded Corners 3">
          <a:extLst>
            <a:ext uri="{FF2B5EF4-FFF2-40B4-BE49-F238E27FC236}">
              <a16:creationId xmlns:a16="http://schemas.microsoft.com/office/drawing/2014/main" id="{64A076CB-692C-8895-8DF6-A33F6F038A46}"/>
            </a:ext>
          </a:extLst>
        </xdr:cNvPr>
        <xdr:cNvSpPr/>
      </xdr:nvSpPr>
      <xdr:spPr>
        <a:xfrm>
          <a:off x="4373880" y="66040"/>
          <a:ext cx="1193800" cy="1234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162560</xdr:colOff>
      <xdr:row>0</xdr:row>
      <xdr:rowOff>66040</xdr:rowOff>
    </xdr:from>
    <xdr:to>
      <xdr:col>11</xdr:col>
      <xdr:colOff>137160</xdr:colOff>
      <xdr:row>7</xdr:row>
      <xdr:rowOff>5080</xdr:rowOff>
    </xdr:to>
    <xdr:sp macro="" textlink="">
      <xdr:nvSpPr>
        <xdr:cNvPr id="5" name="Rectangle: Rounded Corners 4">
          <a:extLst>
            <a:ext uri="{FF2B5EF4-FFF2-40B4-BE49-F238E27FC236}">
              <a16:creationId xmlns:a16="http://schemas.microsoft.com/office/drawing/2014/main" id="{C892CA98-403E-535E-CA86-8A8E274FDE4B}"/>
            </a:ext>
          </a:extLst>
        </xdr:cNvPr>
        <xdr:cNvSpPr/>
      </xdr:nvSpPr>
      <xdr:spPr>
        <a:xfrm>
          <a:off x="5648960" y="66040"/>
          <a:ext cx="1193800" cy="1219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91440</xdr:colOff>
      <xdr:row>3</xdr:row>
      <xdr:rowOff>76200</xdr:rowOff>
    </xdr:from>
    <xdr:to>
      <xdr:col>1</xdr:col>
      <xdr:colOff>177800</xdr:colOff>
      <xdr:row>15</xdr:row>
      <xdr:rowOff>147320</xdr:rowOff>
    </xdr:to>
    <xdr:sp macro="" textlink="">
      <xdr:nvSpPr>
        <xdr:cNvPr id="6" name="Rectangle 5">
          <a:extLst>
            <a:ext uri="{FF2B5EF4-FFF2-40B4-BE49-F238E27FC236}">
              <a16:creationId xmlns:a16="http://schemas.microsoft.com/office/drawing/2014/main" id="{5DEED3DF-F369-C357-988C-1F69961EC796}"/>
            </a:ext>
          </a:extLst>
        </xdr:cNvPr>
        <xdr:cNvSpPr/>
      </xdr:nvSpPr>
      <xdr:spPr>
        <a:xfrm>
          <a:off x="91440" y="624840"/>
          <a:ext cx="695960" cy="22656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243840</xdr:colOff>
      <xdr:row>3</xdr:row>
      <xdr:rowOff>76200</xdr:rowOff>
    </xdr:from>
    <xdr:to>
      <xdr:col>3</xdr:col>
      <xdr:colOff>118359</xdr:colOff>
      <xdr:row>7</xdr:row>
      <xdr:rowOff>20320</xdr:rowOff>
    </xdr:to>
    <xdr:sp macro="" textlink="">
      <xdr:nvSpPr>
        <xdr:cNvPr id="7" name="Rectangle: Rounded Corners 6">
          <a:extLst>
            <a:ext uri="{FF2B5EF4-FFF2-40B4-BE49-F238E27FC236}">
              <a16:creationId xmlns:a16="http://schemas.microsoft.com/office/drawing/2014/main" id="{FD9BBB2E-A591-CA64-1940-61D1347C4F80}"/>
            </a:ext>
          </a:extLst>
        </xdr:cNvPr>
        <xdr:cNvSpPr/>
      </xdr:nvSpPr>
      <xdr:spPr>
        <a:xfrm>
          <a:off x="853440" y="624840"/>
          <a:ext cx="1093719" cy="67564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195632</xdr:colOff>
      <xdr:row>3</xdr:row>
      <xdr:rowOff>76200</xdr:rowOff>
    </xdr:from>
    <xdr:to>
      <xdr:col>5</xdr:col>
      <xdr:colOff>70151</xdr:colOff>
      <xdr:row>7</xdr:row>
      <xdr:rowOff>20320</xdr:rowOff>
    </xdr:to>
    <xdr:sp macro="" textlink="">
      <xdr:nvSpPr>
        <xdr:cNvPr id="8" name="Rectangle: Rounded Corners 7">
          <a:extLst>
            <a:ext uri="{FF2B5EF4-FFF2-40B4-BE49-F238E27FC236}">
              <a16:creationId xmlns:a16="http://schemas.microsoft.com/office/drawing/2014/main" id="{2D2CAB58-7C27-C612-8442-D3DB9E1C1F3F}"/>
            </a:ext>
          </a:extLst>
        </xdr:cNvPr>
        <xdr:cNvSpPr/>
      </xdr:nvSpPr>
      <xdr:spPr>
        <a:xfrm>
          <a:off x="2024432" y="624840"/>
          <a:ext cx="1093719" cy="675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152401</xdr:colOff>
      <xdr:row>3</xdr:row>
      <xdr:rowOff>76200</xdr:rowOff>
    </xdr:from>
    <xdr:to>
      <xdr:col>7</xdr:col>
      <xdr:colOff>45721</xdr:colOff>
      <xdr:row>7</xdr:row>
      <xdr:rowOff>20320</xdr:rowOff>
    </xdr:to>
    <xdr:sp macro="" textlink="">
      <xdr:nvSpPr>
        <xdr:cNvPr id="9" name="Rectangle: Rounded Corners 8">
          <a:extLst>
            <a:ext uri="{FF2B5EF4-FFF2-40B4-BE49-F238E27FC236}">
              <a16:creationId xmlns:a16="http://schemas.microsoft.com/office/drawing/2014/main" id="{E1FEE932-4EFF-0724-A9F9-FF42EB09D7D7}"/>
            </a:ext>
          </a:extLst>
        </xdr:cNvPr>
        <xdr:cNvSpPr/>
      </xdr:nvSpPr>
      <xdr:spPr>
        <a:xfrm>
          <a:off x="3200401" y="624840"/>
          <a:ext cx="1112520" cy="675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142240</xdr:colOff>
      <xdr:row>7</xdr:row>
      <xdr:rowOff>60960</xdr:rowOff>
    </xdr:from>
    <xdr:to>
      <xdr:col>11</xdr:col>
      <xdr:colOff>137160</xdr:colOff>
      <xdr:row>15</xdr:row>
      <xdr:rowOff>127000</xdr:rowOff>
    </xdr:to>
    <xdr:sp macro="" textlink="">
      <xdr:nvSpPr>
        <xdr:cNvPr id="14" name="Rectangle: Rounded Corners 13">
          <a:extLst>
            <a:ext uri="{FF2B5EF4-FFF2-40B4-BE49-F238E27FC236}">
              <a16:creationId xmlns:a16="http://schemas.microsoft.com/office/drawing/2014/main" id="{E9275670-3224-8CC1-F01C-BECC3DEE2F1E}"/>
            </a:ext>
          </a:extLst>
        </xdr:cNvPr>
        <xdr:cNvSpPr/>
      </xdr:nvSpPr>
      <xdr:spPr>
        <a:xfrm>
          <a:off x="4409440" y="1341120"/>
          <a:ext cx="2433320" cy="15290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45720</xdr:colOff>
      <xdr:row>0</xdr:row>
      <xdr:rowOff>111760</xdr:rowOff>
    </xdr:from>
    <xdr:to>
      <xdr:col>4</xdr:col>
      <xdr:colOff>375920</xdr:colOff>
      <xdr:row>1</xdr:row>
      <xdr:rowOff>127000</xdr:rowOff>
    </xdr:to>
    <xdr:sp macro="" textlink="">
      <xdr:nvSpPr>
        <xdr:cNvPr id="15" name="TextBox 14">
          <a:extLst>
            <a:ext uri="{FF2B5EF4-FFF2-40B4-BE49-F238E27FC236}">
              <a16:creationId xmlns:a16="http://schemas.microsoft.com/office/drawing/2014/main" id="{29CC9BAC-04E8-F38A-E367-DCE148004223}"/>
            </a:ext>
          </a:extLst>
        </xdr:cNvPr>
        <xdr:cNvSpPr txBox="1"/>
      </xdr:nvSpPr>
      <xdr:spPr>
        <a:xfrm>
          <a:off x="655320" y="111760"/>
          <a:ext cx="21590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a:t>
          </a:r>
          <a:r>
            <a:rPr lang="en-IN" sz="1100" baseline="0"/>
            <a:t> Dashboard</a:t>
          </a:r>
          <a:endParaRPr lang="en-IN" sz="1100"/>
        </a:p>
      </xdr:txBody>
    </xdr:sp>
    <xdr:clientData/>
  </xdr:twoCellAnchor>
  <xdr:twoCellAnchor editAs="oneCell">
    <xdr:from>
      <xdr:col>0</xdr:col>
      <xdr:colOff>81280</xdr:colOff>
      <xdr:row>0</xdr:row>
      <xdr:rowOff>20320</xdr:rowOff>
    </xdr:from>
    <xdr:to>
      <xdr:col>1</xdr:col>
      <xdr:colOff>127000</xdr:colOff>
      <xdr:row>3</xdr:row>
      <xdr:rowOff>93980</xdr:rowOff>
    </xdr:to>
    <xdr:pic>
      <xdr:nvPicPr>
        <xdr:cNvPr id="17" name="Picture 16">
          <a:extLst>
            <a:ext uri="{FF2B5EF4-FFF2-40B4-BE49-F238E27FC236}">
              <a16:creationId xmlns:a16="http://schemas.microsoft.com/office/drawing/2014/main" id="{02CFBDBE-F65B-5BDE-9D68-726D71C8B8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959" r="685"/>
        <a:stretch/>
      </xdr:blipFill>
      <xdr:spPr>
        <a:xfrm>
          <a:off x="81280" y="20320"/>
          <a:ext cx="655320" cy="622300"/>
        </a:xfrm>
        <a:prstGeom prst="rect">
          <a:avLst/>
        </a:prstGeom>
      </xdr:spPr>
    </xdr:pic>
    <xdr:clientData/>
  </xdr:twoCellAnchor>
  <xdr:twoCellAnchor>
    <xdr:from>
      <xdr:col>2</xdr:col>
      <xdr:colOff>76200</xdr:colOff>
      <xdr:row>1</xdr:row>
      <xdr:rowOff>127000</xdr:rowOff>
    </xdr:from>
    <xdr:to>
      <xdr:col>3</xdr:col>
      <xdr:colOff>289560</xdr:colOff>
      <xdr:row>2</xdr:row>
      <xdr:rowOff>96520</xdr:rowOff>
    </xdr:to>
    <xdr:sp macro="" textlink="">
      <xdr:nvSpPr>
        <xdr:cNvPr id="23" name="TextBox 22">
          <a:extLst>
            <a:ext uri="{FF2B5EF4-FFF2-40B4-BE49-F238E27FC236}">
              <a16:creationId xmlns:a16="http://schemas.microsoft.com/office/drawing/2014/main" id="{42A9D746-2E9D-2E74-66B5-5E9E38ACC716}"/>
            </a:ext>
          </a:extLst>
        </xdr:cNvPr>
        <xdr:cNvSpPr txBox="1"/>
      </xdr:nvSpPr>
      <xdr:spPr>
        <a:xfrm>
          <a:off x="1295400" y="309880"/>
          <a:ext cx="82296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a:t>Monthly Report</a:t>
          </a:r>
        </a:p>
        <a:p>
          <a:endParaRPr lang="en-IN" sz="1000"/>
        </a:p>
      </xdr:txBody>
    </xdr:sp>
    <xdr:clientData/>
  </xdr:twoCellAnchor>
  <xdr:twoCellAnchor>
    <xdr:from>
      <xdr:col>1</xdr:col>
      <xdr:colOff>355600</xdr:colOff>
      <xdr:row>4</xdr:row>
      <xdr:rowOff>157480</xdr:rowOff>
    </xdr:from>
    <xdr:to>
      <xdr:col>2</xdr:col>
      <xdr:colOff>548640</xdr:colOff>
      <xdr:row>6</xdr:row>
      <xdr:rowOff>10160</xdr:rowOff>
    </xdr:to>
    <xdr:sp macro="" textlink="">
      <xdr:nvSpPr>
        <xdr:cNvPr id="24" name="TextBox 23">
          <a:extLst>
            <a:ext uri="{FF2B5EF4-FFF2-40B4-BE49-F238E27FC236}">
              <a16:creationId xmlns:a16="http://schemas.microsoft.com/office/drawing/2014/main" id="{F665E904-F3D5-A710-B5EF-69825DBD57A9}"/>
            </a:ext>
          </a:extLst>
        </xdr:cNvPr>
        <xdr:cNvSpPr txBox="1"/>
      </xdr:nvSpPr>
      <xdr:spPr>
        <a:xfrm>
          <a:off x="965200" y="889000"/>
          <a:ext cx="80264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No.of patient</a:t>
          </a:r>
        </a:p>
      </xdr:txBody>
    </xdr:sp>
    <xdr:clientData/>
  </xdr:twoCellAnchor>
  <xdr:twoCellAnchor>
    <xdr:from>
      <xdr:col>3</xdr:col>
      <xdr:colOff>238760</xdr:colOff>
      <xdr:row>4</xdr:row>
      <xdr:rowOff>157480</xdr:rowOff>
    </xdr:from>
    <xdr:to>
      <xdr:col>5</xdr:col>
      <xdr:colOff>25400</xdr:colOff>
      <xdr:row>6</xdr:row>
      <xdr:rowOff>10160</xdr:rowOff>
    </xdr:to>
    <xdr:sp macro="" textlink="">
      <xdr:nvSpPr>
        <xdr:cNvPr id="26" name="TextBox 25">
          <a:extLst>
            <a:ext uri="{FF2B5EF4-FFF2-40B4-BE49-F238E27FC236}">
              <a16:creationId xmlns:a16="http://schemas.microsoft.com/office/drawing/2014/main" id="{E0892B72-A26E-90A2-0CA8-EE7BD136926F}"/>
            </a:ext>
          </a:extLst>
        </xdr:cNvPr>
        <xdr:cNvSpPr txBox="1"/>
      </xdr:nvSpPr>
      <xdr:spPr>
        <a:xfrm>
          <a:off x="2067560" y="889000"/>
          <a:ext cx="100584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Average</a:t>
          </a:r>
          <a:r>
            <a:rPr lang="en-IN" sz="1050" baseline="0"/>
            <a:t> wait Time</a:t>
          </a:r>
          <a:endParaRPr lang="en-IN" sz="1050"/>
        </a:p>
      </xdr:txBody>
    </xdr:sp>
    <xdr:clientData/>
  </xdr:twoCellAnchor>
  <xdr:twoCellAnchor>
    <xdr:from>
      <xdr:col>5</xdr:col>
      <xdr:colOff>187960</xdr:colOff>
      <xdr:row>4</xdr:row>
      <xdr:rowOff>157480</xdr:rowOff>
    </xdr:from>
    <xdr:to>
      <xdr:col>7</xdr:col>
      <xdr:colOff>10160</xdr:colOff>
      <xdr:row>6</xdr:row>
      <xdr:rowOff>10160</xdr:rowOff>
    </xdr:to>
    <xdr:sp macro="" textlink="">
      <xdr:nvSpPr>
        <xdr:cNvPr id="27" name="TextBox 26">
          <a:extLst>
            <a:ext uri="{FF2B5EF4-FFF2-40B4-BE49-F238E27FC236}">
              <a16:creationId xmlns:a16="http://schemas.microsoft.com/office/drawing/2014/main" id="{2899304D-8886-D388-F575-C5A08F199A76}"/>
            </a:ext>
          </a:extLst>
        </xdr:cNvPr>
        <xdr:cNvSpPr txBox="1"/>
      </xdr:nvSpPr>
      <xdr:spPr>
        <a:xfrm>
          <a:off x="3235960" y="889000"/>
          <a:ext cx="104140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Patient</a:t>
          </a:r>
          <a:r>
            <a:rPr lang="en-IN" sz="800" baseline="0"/>
            <a:t> Satisfaction Score</a:t>
          </a:r>
          <a:endParaRPr lang="en-IN" sz="800"/>
        </a:p>
      </xdr:txBody>
    </xdr:sp>
    <xdr:clientData/>
  </xdr:twoCellAnchor>
  <xdr:twoCellAnchor>
    <xdr:from>
      <xdr:col>5</xdr:col>
      <xdr:colOff>259080</xdr:colOff>
      <xdr:row>3</xdr:row>
      <xdr:rowOff>137160</xdr:rowOff>
    </xdr:from>
    <xdr:to>
      <xdr:col>6</xdr:col>
      <xdr:colOff>452120</xdr:colOff>
      <xdr:row>4</xdr:row>
      <xdr:rowOff>172720</xdr:rowOff>
    </xdr:to>
    <xdr:sp macro="" textlink="'Pivot report'!A16">
      <xdr:nvSpPr>
        <xdr:cNvPr id="31" name="TextBox 30">
          <a:extLst>
            <a:ext uri="{FF2B5EF4-FFF2-40B4-BE49-F238E27FC236}">
              <a16:creationId xmlns:a16="http://schemas.microsoft.com/office/drawing/2014/main" id="{247DD52F-3AB0-E088-7782-D9737BE6BF8A}"/>
            </a:ext>
          </a:extLst>
        </xdr:cNvPr>
        <xdr:cNvSpPr txBox="1"/>
      </xdr:nvSpPr>
      <xdr:spPr>
        <a:xfrm>
          <a:off x="3307080" y="685800"/>
          <a:ext cx="80264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1100" b="0" i="0" u="none" strike="noStrike">
              <a:solidFill>
                <a:srgbClr val="000000"/>
              </a:solidFill>
              <a:latin typeface="Aptos Narrow"/>
            </a:rPr>
            <a:t>         </a:t>
          </a:r>
          <a:fld id="{14BC7D9B-E7A7-46A2-987E-7E5E9F3CEAB3}" type="TxLink">
            <a:rPr lang="en-US" sz="1100" b="0" i="0" u="none" strike="noStrike">
              <a:solidFill>
                <a:srgbClr val="000000"/>
              </a:solidFill>
              <a:latin typeface="Aptos Narrow"/>
            </a:rPr>
            <a:pPr algn="l"/>
            <a:t>4.79</a:t>
          </a:fld>
          <a:endParaRPr lang="en-IN" sz="1100"/>
        </a:p>
      </xdr:txBody>
    </xdr:sp>
    <xdr:clientData/>
  </xdr:twoCellAnchor>
  <xdr:twoCellAnchor>
    <xdr:from>
      <xdr:col>7</xdr:col>
      <xdr:colOff>116840</xdr:colOff>
      <xdr:row>6</xdr:row>
      <xdr:rowOff>10160</xdr:rowOff>
    </xdr:from>
    <xdr:to>
      <xdr:col>9</xdr:col>
      <xdr:colOff>528320</xdr:colOff>
      <xdr:row>7</xdr:row>
      <xdr:rowOff>45720</xdr:rowOff>
    </xdr:to>
    <xdr:sp macro="" textlink="'Pivot report'!A11">
      <xdr:nvSpPr>
        <xdr:cNvPr id="32" name="TextBox 31">
          <a:extLst>
            <a:ext uri="{FF2B5EF4-FFF2-40B4-BE49-F238E27FC236}">
              <a16:creationId xmlns:a16="http://schemas.microsoft.com/office/drawing/2014/main" id="{178F51C7-9187-83EF-09B3-E191DA49046D}"/>
            </a:ext>
          </a:extLst>
        </xdr:cNvPr>
        <xdr:cNvSpPr txBox="1"/>
      </xdr:nvSpPr>
      <xdr:spPr>
        <a:xfrm>
          <a:off x="4384040" y="1107440"/>
          <a:ext cx="16306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b="0" i="0" u="none" strike="noStrike">
              <a:solidFill>
                <a:srgbClr val="000000"/>
              </a:solidFill>
              <a:latin typeface="Aptos Narrow"/>
            </a:rPr>
            <a:t> Patient</a:t>
          </a:r>
          <a:r>
            <a:rPr lang="en-US" sz="800" b="0" i="0" u="none" strike="noStrike" baseline="0">
              <a:solidFill>
                <a:srgbClr val="000000"/>
              </a:solidFill>
              <a:latin typeface="Aptos Narrow"/>
            </a:rPr>
            <a:t> attended within Time</a:t>
          </a:r>
          <a:endParaRPr lang="en-IN" sz="800"/>
        </a:p>
      </xdr:txBody>
    </xdr:sp>
    <xdr:clientData/>
  </xdr:twoCellAnchor>
  <xdr:twoCellAnchor>
    <xdr:from>
      <xdr:col>1</xdr:col>
      <xdr:colOff>355600</xdr:colOff>
      <xdr:row>3</xdr:row>
      <xdr:rowOff>157480</xdr:rowOff>
    </xdr:from>
    <xdr:to>
      <xdr:col>2</xdr:col>
      <xdr:colOff>548640</xdr:colOff>
      <xdr:row>5</xdr:row>
      <xdr:rowOff>10160</xdr:rowOff>
    </xdr:to>
    <xdr:sp macro="" textlink="'Pivot report'!A5">
      <xdr:nvSpPr>
        <xdr:cNvPr id="33" name="TextBox 32">
          <a:extLst>
            <a:ext uri="{FF2B5EF4-FFF2-40B4-BE49-F238E27FC236}">
              <a16:creationId xmlns:a16="http://schemas.microsoft.com/office/drawing/2014/main" id="{3BBD2918-06F7-13E6-DBE2-43C72DAA3173}"/>
            </a:ext>
          </a:extLst>
        </xdr:cNvPr>
        <xdr:cNvSpPr txBox="1"/>
      </xdr:nvSpPr>
      <xdr:spPr>
        <a:xfrm>
          <a:off x="965200" y="706120"/>
          <a:ext cx="80264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Aptos Narrow"/>
            </a:rPr>
            <a:t>         </a:t>
          </a:r>
          <a:fld id="{B6037223-23E5-4845-8893-361A086381E9}" type="TxLink">
            <a:rPr lang="en-US" sz="1100" b="0" i="0" u="none" strike="noStrike">
              <a:solidFill>
                <a:srgbClr val="000000"/>
              </a:solidFill>
              <a:latin typeface="Aptos Narrow"/>
            </a:rPr>
            <a:t>488</a:t>
          </a:fld>
          <a:endParaRPr lang="en-IN" sz="1100"/>
        </a:p>
      </xdr:txBody>
    </xdr:sp>
    <xdr:clientData/>
  </xdr:twoCellAnchor>
  <xdr:twoCellAnchor editAs="oneCell">
    <xdr:from>
      <xdr:col>2</xdr:col>
      <xdr:colOff>416560</xdr:colOff>
      <xdr:row>3</xdr:row>
      <xdr:rowOff>86360</xdr:rowOff>
    </xdr:from>
    <xdr:to>
      <xdr:col>3</xdr:col>
      <xdr:colOff>101600</xdr:colOff>
      <xdr:row>5</xdr:row>
      <xdr:rowOff>20320</xdr:rowOff>
    </xdr:to>
    <xdr:pic>
      <xdr:nvPicPr>
        <xdr:cNvPr id="35" name="Graphic 34" descr="User with solid fill">
          <a:extLst>
            <a:ext uri="{FF2B5EF4-FFF2-40B4-BE49-F238E27FC236}">
              <a16:creationId xmlns:a16="http://schemas.microsoft.com/office/drawing/2014/main" id="{26C0B4FA-EA38-3AC5-1FDA-1FA2C20E995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35760" y="635000"/>
          <a:ext cx="294640" cy="299720"/>
        </a:xfrm>
        <a:prstGeom prst="rect">
          <a:avLst/>
        </a:prstGeom>
      </xdr:spPr>
    </xdr:pic>
    <xdr:clientData/>
  </xdr:twoCellAnchor>
  <xdr:twoCellAnchor editAs="oneCell">
    <xdr:from>
      <xdr:col>4</xdr:col>
      <xdr:colOff>309880</xdr:colOff>
      <xdr:row>3</xdr:row>
      <xdr:rowOff>111760</xdr:rowOff>
    </xdr:from>
    <xdr:to>
      <xdr:col>5</xdr:col>
      <xdr:colOff>106680</xdr:colOff>
      <xdr:row>5</xdr:row>
      <xdr:rowOff>20320</xdr:rowOff>
    </xdr:to>
    <xdr:pic>
      <xdr:nvPicPr>
        <xdr:cNvPr id="37" name="Graphic 36" descr="Hourglass Finished with solid fill">
          <a:extLst>
            <a:ext uri="{FF2B5EF4-FFF2-40B4-BE49-F238E27FC236}">
              <a16:creationId xmlns:a16="http://schemas.microsoft.com/office/drawing/2014/main" id="{CF7988B7-A7DF-9730-BEBF-3A8C21CAEBD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48280" y="660400"/>
          <a:ext cx="406400" cy="274320"/>
        </a:xfrm>
        <a:prstGeom prst="rect">
          <a:avLst/>
        </a:prstGeom>
      </xdr:spPr>
    </xdr:pic>
    <xdr:clientData/>
  </xdr:twoCellAnchor>
  <xdr:twoCellAnchor editAs="oneCell">
    <xdr:from>
      <xdr:col>6</xdr:col>
      <xdr:colOff>294640</xdr:colOff>
      <xdr:row>3</xdr:row>
      <xdr:rowOff>66040</xdr:rowOff>
    </xdr:from>
    <xdr:to>
      <xdr:col>7</xdr:col>
      <xdr:colOff>50800</xdr:colOff>
      <xdr:row>5</xdr:row>
      <xdr:rowOff>30480</xdr:rowOff>
    </xdr:to>
    <xdr:pic>
      <xdr:nvPicPr>
        <xdr:cNvPr id="39" name="Graphic 38" descr="Star with solid fill">
          <a:extLst>
            <a:ext uri="{FF2B5EF4-FFF2-40B4-BE49-F238E27FC236}">
              <a16:creationId xmlns:a16="http://schemas.microsoft.com/office/drawing/2014/main" id="{12D94339-2222-9991-0C56-A69606368C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52240" y="614680"/>
          <a:ext cx="365760" cy="330200"/>
        </a:xfrm>
        <a:prstGeom prst="rect">
          <a:avLst/>
        </a:prstGeom>
      </xdr:spPr>
    </xdr:pic>
    <xdr:clientData/>
  </xdr:twoCellAnchor>
  <xdr:twoCellAnchor editAs="oneCell">
    <xdr:from>
      <xdr:col>0</xdr:col>
      <xdr:colOff>116840</xdr:colOff>
      <xdr:row>3</xdr:row>
      <xdr:rowOff>101600</xdr:rowOff>
    </xdr:from>
    <xdr:to>
      <xdr:col>1</xdr:col>
      <xdr:colOff>132080</xdr:colOff>
      <xdr:row>15</xdr:row>
      <xdr:rowOff>116840</xdr:rowOff>
    </xdr:to>
    <mc:AlternateContent xmlns:mc="http://schemas.openxmlformats.org/markup-compatibility/2006">
      <mc:Choice xmlns:a14="http://schemas.microsoft.com/office/drawing/2010/main" Requires="a14">
        <xdr:graphicFrame macro="">
          <xdr:nvGraphicFramePr>
            <xdr:cNvPr id="40" name="Date (Month)">
              <a:extLst>
                <a:ext uri="{FF2B5EF4-FFF2-40B4-BE49-F238E27FC236}">
                  <a16:creationId xmlns:a16="http://schemas.microsoft.com/office/drawing/2014/main" id="{C7F214D7-60AD-4E9D-A046-4EF149DCD28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6840" y="650240"/>
              <a:ext cx="62484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157480</xdr:colOff>
      <xdr:row>2</xdr:row>
      <xdr:rowOff>71120</xdr:rowOff>
    </xdr:from>
    <xdr:to>
      <xdr:col>3</xdr:col>
      <xdr:colOff>106680</xdr:colOff>
      <xdr:row>7</xdr:row>
      <xdr:rowOff>127000</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50E7ECFD-10F8-0A16-2C83-3C183F4C1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182880</xdr:colOff>
      <xdr:row>4</xdr:row>
      <xdr:rowOff>157480</xdr:rowOff>
    </xdr:from>
    <xdr:to>
      <xdr:col>5</xdr:col>
      <xdr:colOff>101600</xdr:colOff>
      <xdr:row>7</xdr:row>
      <xdr:rowOff>35560</xdr:rowOff>
    </xdr:to>
    <xdr:graphicFrame macro="">
      <xdr:nvGraphicFramePr>
        <xdr:cNvPr id="43" name="Chart 42">
          <a:hlinkClick xmlns:r="http://schemas.openxmlformats.org/officeDocument/2006/relationships" r:id="rId10"/>
          <a:extLst>
            <a:ext uri="{FF2B5EF4-FFF2-40B4-BE49-F238E27FC236}">
              <a16:creationId xmlns:a16="http://schemas.microsoft.com/office/drawing/2014/main" id="{CCE721D0-CB39-4623-BCB4-88B92DA25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111760</xdr:colOff>
      <xdr:row>4</xdr:row>
      <xdr:rowOff>127000</xdr:rowOff>
    </xdr:from>
    <xdr:to>
      <xdr:col>7</xdr:col>
      <xdr:colOff>76200</xdr:colOff>
      <xdr:row>7</xdr:row>
      <xdr:rowOff>66040</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6132BE8A-DF20-4D30-965B-64FE616B49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259080</xdr:colOff>
          <xdr:row>7</xdr:row>
          <xdr:rowOff>76200</xdr:rowOff>
        </xdr:from>
        <xdr:to>
          <xdr:col>7</xdr:col>
          <xdr:colOff>45720</xdr:colOff>
          <xdr:row>10</xdr:row>
          <xdr:rowOff>30480</xdr:rowOff>
        </xdr:to>
        <xdr:pic>
          <xdr:nvPicPr>
            <xdr:cNvPr id="49" name="Picture 48">
              <a:extLst>
                <a:ext uri="{FF2B5EF4-FFF2-40B4-BE49-F238E27FC236}">
                  <a16:creationId xmlns:a16="http://schemas.microsoft.com/office/drawing/2014/main" id="{1917ED58-D509-7807-E7B3-3537DB39FD5C}"/>
                </a:ext>
              </a:extLst>
            </xdr:cNvPr>
            <xdr:cNvPicPr>
              <a:picLocks noChangeAspect="1" noChangeArrowheads="1"/>
              <a:extLst>
                <a:ext uri="{84589F7E-364E-4C9E-8A38-B11213B215E9}">
                  <a14:cameraTool cellRange="'Pivot report'!$A$48:$C$50" spid="_x0000_s2062"/>
                </a:ext>
              </a:extLst>
            </xdr:cNvPicPr>
          </xdr:nvPicPr>
          <xdr:blipFill>
            <a:blip xmlns:r="http://schemas.openxmlformats.org/officeDocument/2006/relationships" r:embed="rId14">
              <a:alphaModFix/>
            </a:blip>
            <a:srcRect/>
            <a:stretch>
              <a:fillRect/>
            </a:stretch>
          </xdr:blipFill>
          <xdr:spPr bwMode="auto">
            <a:xfrm>
              <a:off x="868680" y="1356360"/>
              <a:ext cx="3444240" cy="502920"/>
            </a:xfrm>
            <a:prstGeom prst="roundRect">
              <a:avLst>
                <a:gd name="adj" fmla="val 8594"/>
              </a:avLst>
            </a:prstGeom>
            <a:solidFill>
              <a:srgbClr val="FFFFFF">
                <a:shade val="85000"/>
              </a:srgbClr>
            </a:solidFill>
            <a:ln>
              <a:noFill/>
            </a:ln>
            <a:effectLst/>
          </xdr:spPr>
        </xdr:pic>
        <xdr:clientData/>
      </xdr:twoCellAnchor>
    </mc:Choice>
    <mc:Fallback/>
  </mc:AlternateContent>
  <xdr:twoCellAnchor>
    <xdr:from>
      <xdr:col>1</xdr:col>
      <xdr:colOff>269240</xdr:colOff>
      <xdr:row>10</xdr:row>
      <xdr:rowOff>116840</xdr:rowOff>
    </xdr:from>
    <xdr:to>
      <xdr:col>7</xdr:col>
      <xdr:colOff>45720</xdr:colOff>
      <xdr:row>15</xdr:row>
      <xdr:rowOff>91440</xdr:rowOff>
    </xdr:to>
    <xdr:graphicFrame macro="">
      <xdr:nvGraphicFramePr>
        <xdr:cNvPr id="50" name="Chart 49">
          <a:extLst>
            <a:ext uri="{FF2B5EF4-FFF2-40B4-BE49-F238E27FC236}">
              <a16:creationId xmlns:a16="http://schemas.microsoft.com/office/drawing/2014/main" id="{51AC7154-C639-43A2-B925-33866B8B6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553720</xdr:colOff>
      <xdr:row>14</xdr:row>
      <xdr:rowOff>157480</xdr:rowOff>
    </xdr:from>
    <xdr:to>
      <xdr:col>5</xdr:col>
      <xdr:colOff>508000</xdr:colOff>
      <xdr:row>16</xdr:row>
      <xdr:rowOff>10160</xdr:rowOff>
    </xdr:to>
    <xdr:sp macro="" textlink="'Pivot report'!A11">
      <xdr:nvSpPr>
        <xdr:cNvPr id="52" name="TextBox 51">
          <a:extLst>
            <a:ext uri="{FF2B5EF4-FFF2-40B4-BE49-F238E27FC236}">
              <a16:creationId xmlns:a16="http://schemas.microsoft.com/office/drawing/2014/main" id="{8698A46B-F050-188D-342D-8E81081C9B71}"/>
            </a:ext>
          </a:extLst>
        </xdr:cNvPr>
        <xdr:cNvSpPr txBox="1"/>
      </xdr:nvSpPr>
      <xdr:spPr>
        <a:xfrm>
          <a:off x="1772920" y="2717800"/>
          <a:ext cx="1783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b="0" i="0" u="none" strike="noStrike">
              <a:solidFill>
                <a:srgbClr val="000000"/>
              </a:solidFill>
              <a:latin typeface="Aptos Narrow"/>
            </a:rPr>
            <a:t>          No.of</a:t>
          </a:r>
          <a:r>
            <a:rPr lang="en-US" sz="800" b="0" i="0" u="none" strike="noStrike" baseline="0">
              <a:solidFill>
                <a:srgbClr val="000000"/>
              </a:solidFill>
              <a:latin typeface="Aptos Narrow"/>
            </a:rPr>
            <a:t> Patient by Age Group</a:t>
          </a:r>
          <a:endParaRPr lang="en-IN" sz="800"/>
        </a:p>
      </xdr:txBody>
    </xdr:sp>
    <xdr:clientData/>
  </xdr:twoCellAnchor>
  <xdr:twoCellAnchor>
    <xdr:from>
      <xdr:col>6</xdr:col>
      <xdr:colOff>386080</xdr:colOff>
      <xdr:row>0</xdr:row>
      <xdr:rowOff>10160</xdr:rowOff>
    </xdr:from>
    <xdr:to>
      <xdr:col>9</xdr:col>
      <xdr:colOff>335280</xdr:colOff>
      <xdr:row>6</xdr:row>
      <xdr:rowOff>147320</xdr:rowOff>
    </xdr:to>
    <xdr:graphicFrame macro="">
      <xdr:nvGraphicFramePr>
        <xdr:cNvPr id="53" name="Chart 52">
          <a:extLst>
            <a:ext uri="{FF2B5EF4-FFF2-40B4-BE49-F238E27FC236}">
              <a16:creationId xmlns:a16="http://schemas.microsoft.com/office/drawing/2014/main" id="{B377ECC2-BBD1-4EF0-86CC-FC15543E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279400</xdr:colOff>
      <xdr:row>3</xdr:row>
      <xdr:rowOff>157480</xdr:rowOff>
    </xdr:from>
    <xdr:to>
      <xdr:col>4</xdr:col>
      <xdr:colOff>472440</xdr:colOff>
      <xdr:row>5</xdr:row>
      <xdr:rowOff>10160</xdr:rowOff>
    </xdr:to>
    <xdr:sp macro="" textlink="'Pivot report'!A11">
      <xdr:nvSpPr>
        <xdr:cNvPr id="54" name="TextBox 53">
          <a:extLst>
            <a:ext uri="{FF2B5EF4-FFF2-40B4-BE49-F238E27FC236}">
              <a16:creationId xmlns:a16="http://schemas.microsoft.com/office/drawing/2014/main" id="{011A403C-6A8C-B57E-D781-A2E5CC6C4DBC}"/>
            </a:ext>
          </a:extLst>
        </xdr:cNvPr>
        <xdr:cNvSpPr txBox="1"/>
      </xdr:nvSpPr>
      <xdr:spPr>
        <a:xfrm>
          <a:off x="2108200" y="706120"/>
          <a:ext cx="80264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Aptos Narrow"/>
            </a:rPr>
            <a:t>          </a:t>
          </a:r>
          <a:fld id="{B3C10673-0A4D-4AEC-B31A-ED91AC2EFF50}" type="TxLink">
            <a:rPr lang="en-US" sz="1100" b="0" i="0" u="none" strike="noStrike">
              <a:solidFill>
                <a:srgbClr val="000000"/>
              </a:solidFill>
              <a:latin typeface="Aptos Narrow"/>
            </a:rPr>
            <a:t>35.20</a:t>
          </a:fld>
          <a:endParaRPr lang="en-IN" sz="1100"/>
        </a:p>
      </xdr:txBody>
    </xdr:sp>
    <xdr:clientData/>
  </xdr:twoCellAnchor>
  <xdr:twoCellAnchor>
    <xdr:from>
      <xdr:col>8</xdr:col>
      <xdr:colOff>375920</xdr:colOff>
      <xdr:row>0</xdr:row>
      <xdr:rowOff>0</xdr:rowOff>
    </xdr:from>
    <xdr:to>
      <xdr:col>11</xdr:col>
      <xdr:colOff>411480</xdr:colOff>
      <xdr:row>7</xdr:row>
      <xdr:rowOff>96520</xdr:rowOff>
    </xdr:to>
    <xdr:graphicFrame macro="">
      <xdr:nvGraphicFramePr>
        <xdr:cNvPr id="55" name="Chart 54">
          <a:extLst>
            <a:ext uri="{FF2B5EF4-FFF2-40B4-BE49-F238E27FC236}">
              <a16:creationId xmlns:a16="http://schemas.microsoft.com/office/drawing/2014/main" id="{94CA86BA-8E9F-440E-8159-1A6060AA4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218440</xdr:colOff>
      <xdr:row>5</xdr:row>
      <xdr:rowOff>177800</xdr:rowOff>
    </xdr:from>
    <xdr:to>
      <xdr:col>11</xdr:col>
      <xdr:colOff>96520</xdr:colOff>
      <xdr:row>7</xdr:row>
      <xdr:rowOff>30480</xdr:rowOff>
    </xdr:to>
    <xdr:sp macro="" textlink="'Pivot report'!A16">
      <xdr:nvSpPr>
        <xdr:cNvPr id="56" name="TextBox 55">
          <a:extLst>
            <a:ext uri="{FF2B5EF4-FFF2-40B4-BE49-F238E27FC236}">
              <a16:creationId xmlns:a16="http://schemas.microsoft.com/office/drawing/2014/main" id="{91F537A8-A859-4881-B074-4A8B2B54025E}"/>
            </a:ext>
          </a:extLst>
        </xdr:cNvPr>
        <xdr:cNvSpPr txBox="1"/>
      </xdr:nvSpPr>
      <xdr:spPr>
        <a:xfrm>
          <a:off x="5704840" y="1092200"/>
          <a:ext cx="10972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800" b="0" i="0" u="none" strike="noStrike">
              <a:solidFill>
                <a:srgbClr val="000000"/>
              </a:solidFill>
              <a:latin typeface="Aptos Narrow"/>
            </a:rPr>
            <a:t> No.of</a:t>
          </a:r>
          <a:r>
            <a:rPr lang="en-US" sz="800" b="0" i="0" u="none" strike="noStrike" baseline="0">
              <a:solidFill>
                <a:srgbClr val="000000"/>
              </a:solidFill>
              <a:latin typeface="Aptos Narrow"/>
            </a:rPr>
            <a:t> Patients by Gender</a:t>
          </a:r>
          <a:endParaRPr lang="en-IN" sz="800"/>
        </a:p>
      </xdr:txBody>
    </xdr:sp>
    <xdr:clientData/>
  </xdr:twoCellAnchor>
  <xdr:twoCellAnchor>
    <xdr:from>
      <xdr:col>7</xdr:col>
      <xdr:colOff>71120</xdr:colOff>
      <xdr:row>7</xdr:row>
      <xdr:rowOff>0</xdr:rowOff>
    </xdr:from>
    <xdr:to>
      <xdr:col>11</xdr:col>
      <xdr:colOff>218440</xdr:colOff>
      <xdr:row>16</xdr:row>
      <xdr:rowOff>0</xdr:rowOff>
    </xdr:to>
    <xdr:graphicFrame macro="">
      <xdr:nvGraphicFramePr>
        <xdr:cNvPr id="58" name="Chart 57">
          <a:extLst>
            <a:ext uri="{FF2B5EF4-FFF2-40B4-BE49-F238E27FC236}">
              <a16:creationId xmlns:a16="http://schemas.microsoft.com/office/drawing/2014/main" id="{3AEF4D7F-CED4-4940-BED5-DDE97FB4FC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60960</xdr:colOff>
      <xdr:row>14</xdr:row>
      <xdr:rowOff>142240</xdr:rowOff>
    </xdr:from>
    <xdr:to>
      <xdr:col>10</xdr:col>
      <xdr:colOff>335280</xdr:colOff>
      <xdr:row>15</xdr:row>
      <xdr:rowOff>177800</xdr:rowOff>
    </xdr:to>
    <xdr:sp macro="" textlink="'Pivot report'!A16">
      <xdr:nvSpPr>
        <xdr:cNvPr id="59" name="TextBox 58">
          <a:extLst>
            <a:ext uri="{FF2B5EF4-FFF2-40B4-BE49-F238E27FC236}">
              <a16:creationId xmlns:a16="http://schemas.microsoft.com/office/drawing/2014/main" id="{920A0CBB-A3E0-4D75-A460-AB1B992FCC39}"/>
            </a:ext>
          </a:extLst>
        </xdr:cNvPr>
        <xdr:cNvSpPr txBox="1"/>
      </xdr:nvSpPr>
      <xdr:spPr>
        <a:xfrm>
          <a:off x="4937760" y="2702560"/>
          <a:ext cx="149352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US" sz="700" b="1" i="0" u="none" strike="noStrike">
              <a:solidFill>
                <a:schemeClr val="tx1"/>
              </a:solidFill>
              <a:latin typeface="Aptos Narrow"/>
            </a:rPr>
            <a:t> No.of</a:t>
          </a:r>
          <a:r>
            <a:rPr lang="en-US" sz="700" b="1" i="0" u="none" strike="noStrike" baseline="0">
              <a:solidFill>
                <a:schemeClr val="tx1"/>
              </a:solidFill>
              <a:latin typeface="Aptos Narrow"/>
            </a:rPr>
            <a:t> Patients by Department Referral</a:t>
          </a:r>
          <a:endParaRPr lang="en-IN" sz="700" b="1">
            <a:solidFill>
              <a:schemeClr val="tx1"/>
            </a:solidFill>
          </a:endParaRPr>
        </a:p>
      </xdr:txBody>
    </xdr:sp>
    <xdr:clientData/>
  </xdr:twoCellAnchor>
  <xdr:twoCellAnchor editAs="oneCell">
    <xdr:from>
      <xdr:col>5</xdr:col>
      <xdr:colOff>106680</xdr:colOff>
      <xdr:row>0</xdr:row>
      <xdr:rowOff>111760</xdr:rowOff>
    </xdr:from>
    <xdr:to>
      <xdr:col>7</xdr:col>
      <xdr:colOff>5080</xdr:colOff>
      <xdr:row>2</xdr:row>
      <xdr:rowOff>157480</xdr:rowOff>
    </xdr:to>
    <mc:AlternateContent xmlns:mc="http://schemas.openxmlformats.org/markup-compatibility/2006">
      <mc:Choice xmlns:a14="http://schemas.microsoft.com/office/drawing/2010/main" Requires="a14">
        <xdr:graphicFrame macro="">
          <xdr:nvGraphicFramePr>
            <xdr:cNvPr id="60" name="Date (Year)">
              <a:extLst>
                <a:ext uri="{FF2B5EF4-FFF2-40B4-BE49-F238E27FC236}">
                  <a16:creationId xmlns:a16="http://schemas.microsoft.com/office/drawing/2014/main" id="{B179F15E-29D2-481B-91E9-2E694753A07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54680" y="111760"/>
              <a:ext cx="1117600" cy="411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403860</xdr:colOff>
      <xdr:row>24</xdr:row>
      <xdr:rowOff>60960</xdr:rowOff>
    </xdr:to>
    <xdr:graphicFrame macro="">
      <xdr:nvGraphicFramePr>
        <xdr:cNvPr id="2" name="Chart 1">
          <a:extLst>
            <a:ext uri="{FF2B5EF4-FFF2-40B4-BE49-F238E27FC236}">
              <a16:creationId xmlns:a16="http://schemas.microsoft.com/office/drawing/2014/main" id="{36D7F4B4-2B00-4387-ACC8-39653AD46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0.00472</cdr:x>
      <cdr:y>0.01142</cdr:y>
    </cdr:from>
    <cdr:to>
      <cdr:x>0.07643</cdr:x>
      <cdr:y>0.17808</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DF0B143-D12C-CCFF-BDAA-45040232FF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72160" cy="7416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381000</xdr:colOff>
      <xdr:row>23</xdr:row>
      <xdr:rowOff>91440</xdr:rowOff>
    </xdr:to>
    <xdr:graphicFrame macro="">
      <xdr:nvGraphicFramePr>
        <xdr:cNvPr id="2" name="Chart 1">
          <a:extLst>
            <a:ext uri="{FF2B5EF4-FFF2-40B4-BE49-F238E27FC236}">
              <a16:creationId xmlns:a16="http://schemas.microsoft.com/office/drawing/2014/main" id="{73304BA0-4996-417E-83E2-B6D97728E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0.00473</cdr:x>
      <cdr:y>0.01182</cdr:y>
    </cdr:from>
    <cdr:to>
      <cdr:x>0.0766</cdr:x>
      <cdr:y>0.1844</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2D08806-4AE9-B389-D2CF-C5D926BFBB7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772160" cy="7416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563880</xdr:colOff>
      <xdr:row>23</xdr:row>
      <xdr:rowOff>76200</xdr:rowOff>
    </xdr:to>
    <xdr:graphicFrame macro="">
      <xdr:nvGraphicFramePr>
        <xdr:cNvPr id="2" name="Chart 1">
          <a:extLst>
            <a:ext uri="{FF2B5EF4-FFF2-40B4-BE49-F238E27FC236}">
              <a16:creationId xmlns:a16="http://schemas.microsoft.com/office/drawing/2014/main" id="{0CFB60BF-20DE-4C6B-B4C1-63A90DF4B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304800</xdr:colOff>
      <xdr:row>5</xdr:row>
      <xdr:rowOff>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F2D08806-4AE9-B389-D2CF-C5D926BFBB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4791668" createdVersion="5" refreshedVersion="8" minRefreshableVersion="3" recordCount="0" supportSubquery="1" supportAdvancedDrill="1" xr:uid="{B5D05EB4-BA0F-44C5-8C72-969D4A8D88B6}">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1">
        <s v="2024"/>
      </sharedItems>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4907406" createdVersion="5" refreshedVersion="8" minRefreshableVersion="3" recordCount="0" supportSubquery="1" supportAdvancedDrill="1" xr:uid="{8469D8BF-9689-443F-95D4-49AFE42E3E03}">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525463" createdVersion="5" refreshedVersion="8" minRefreshableVersion="3" recordCount="0" supportSubquery="1" supportAdvancedDrill="1" xr:uid="{CEFBA377-1EC5-4DE1-8651-60FC9C2E36E6}">
  <cacheSource type="external" connectionId="3"/>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29"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5601853" createdVersion="5" refreshedVersion="8" minRefreshableVersion="3" recordCount="0" supportSubquery="1" supportAdvancedDrill="1" xr:uid="{392022CE-45FB-4E71-80E6-1F1ECE89B7B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5949076" createdVersion="5" refreshedVersion="8" minRefreshableVersion="3" recordCount="0" supportSubquery="1" supportAdvancedDrill="1" xr:uid="{94F14701-BFAE-4643-9636-8A2264CC2BC2}">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6064815" createdVersion="5" refreshedVersion="8" minRefreshableVersion="3" recordCount="0" supportSubquery="1" supportAdvancedDrill="1" xr:uid="{E54758C9-9127-40B7-AFE9-994750FC791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6180553" createdVersion="5" refreshedVersion="8" minRefreshableVersion="3" recordCount="0" supportSubquery="1" supportAdvancedDrill="1" xr:uid="{A653B288-5666-4027-B548-E7C6D5ED793A}">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6527777" createdVersion="5" refreshedVersion="8" minRefreshableVersion="3" recordCount="0" supportSubquery="1" supportAdvancedDrill="1" xr:uid="{6E25DAF2-A933-4B22-9637-888673076209}">
  <cacheSource type="external" connectionId="3"/>
  <cacheFields count="4">
    <cacheField name="[Measures].[Distinct Count of Patient Id]" caption="Distinct Count of Patient Id" numFmtId="0" hierarchy="24" level="32767"/>
    <cacheField name="[Calende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6875" createdVersion="5" refreshedVersion="8" minRefreshableVersion="3" recordCount="0" supportSubquery="1" supportAdvancedDrill="1" xr:uid="{EFDE062B-5CAC-4C15-A465-890B2DEF5F84}">
  <cacheSource type="external" connectionId="3"/>
  <cacheFields count="4">
    <cacheField name="[Calende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7222223" createdVersion="5" refreshedVersion="8" minRefreshableVersion="3" recordCount="0" supportSubquery="1" supportAdvancedDrill="1" xr:uid="{E46A07EA-B06C-42E6-856F-4E429D7A2815}">
  <cacheSource type="external" connectionId="3"/>
  <cacheFields count="4">
    <cacheField name="[Calender_Table].[Date].[Date]" caption="Date" numFmtId="0" level="1">
      <sharedItems containsSemiMixedTypes="0" containsNonDate="0" containsDate="1" containsString="0" minDate="2024-07-01T00:00:00" maxDate="2024-08-01T00:00:00" count="31">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7569446" createdVersion="5" refreshedVersion="8" minRefreshableVersion="3" recordCount="0" supportSubquery="1" supportAdvancedDrill="1" xr:uid="{826B9412-7900-4F7B-A4B9-3C8032EA0FCB}">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ttend status]" caption="Count of Patient attend status" numFmtId="0" hierarchy="29" level="32767"/>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3"/>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76598032408" createdVersion="5" refreshedVersion="8" minRefreshableVersion="3" recordCount="0" supportSubquery="1" supportAdvancedDrill="1" xr:uid="{97C73E5C-6206-4F83-8633-B36182999DF4}">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n Goswami" refreshedDate="45884.962157060188" createdVersion="3" refreshedVersion="8" minRefreshableVersion="3" recordCount="0" supportSubquery="1" supportAdvancedDrill="1" xr:uid="{2B083B58-1675-43D7-B09E-FCAF130A710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935496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049EFA-8249-4D9C-A37E-0351A267EAD0}" name="PivotTable13" cacheId="1059" applyNumberFormats="0" applyBorderFormats="0" applyFontFormats="0" applyPatternFormats="0" applyAlignmentFormats="0" applyWidthHeightFormats="1" dataCaption="Values" tag="3cb1d32d-0380-4f47-9a1c-17a1faf69b8d" updatedVersion="8" minRefreshableVersion="3" subtotalHiddenItems="1" itemPrintTitles="1" createdVersion="5" indent="0" outline="1" outlineData="1" multipleFieldFilters="0" chartFormat="4">
  <location ref="A72:A74"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x="5" e="0"/>
        <item s="1"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2">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F920A-18C2-4A60-9BBD-27DC3230F22A}" name="PivotTable12" cacheId="1071" applyNumberFormats="0" applyBorderFormats="0" applyFontFormats="0" applyPatternFormats="0" applyAlignmentFormats="0" applyWidthHeightFormats="1" dataCaption="Values" tag="a4b7a9f5-c496-4713-a954-0d9f73ca4888" updatedVersion="8" minRefreshableVersion="3" subtotalHiddenItems="1" itemPrintTitles="1" createdVersion="5" indent="0" outline="1" outlineData="1" multipleFieldFilters="0" chartFormat="4">
  <location ref="A60:B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Patient 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1B101F-A770-457E-8497-75063BEAA14F}" name="PivotTable11" cacheId="1068" applyNumberFormats="0" applyBorderFormats="0" applyFontFormats="0" applyPatternFormats="0" applyAlignmentFormats="0" applyWidthHeightFormats="1" dataCaption="Values" tag="fa98e74a-8969-4b0b-bb09-49d6ae9682d0" updatedVersion="8" minRefreshableVersion="3" subtotalHiddenItems="1" itemPrintTitles="1" createdVersion="5" indent="0" outline="1" outlineData="1" multipleFieldFilters="0" chartFormat="5">
  <location ref="B4:C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1"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35C12B-C230-47B8-AA31-4EF3CD9CEC48}" name="PivotTable10" cacheId="1065" applyNumberFormats="0" applyBorderFormats="0" applyFontFormats="0" applyPatternFormats="0" applyAlignmentFormats="0" applyWidthHeightFormats="1" dataCaption="Values" tag="9d970c40-d044-4381-a8c7-79988eb29766" updatedVersion="8" minRefreshableVersion="3" subtotalHiddenItems="1" itemPrintTitles="1" createdVersion="5" indent="0" outline="1" outlineData="1" multipleFieldFilters="0" chartFormat="6">
  <location ref="A53:B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6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709C16-5140-4F8B-A45D-284E08543FFA}" name="PivotTable9" cacheId="1092" applyNumberFormats="0" applyBorderFormats="0" applyFontFormats="0" applyPatternFormats="0" applyAlignmentFormats="0" applyWidthHeightFormats="1" dataCaption="Values" tag="ad6e14c3-3a10-401a-b7e9-1d5890b33d06" updatedVersion="8" minRefreshableVersion="3" subtotalHiddenItems="1" itemPrintTitles="1" createdVersion="5" indent="0" outline="1" outlineData="1" multipleFieldFilters="0" chartFormat="5">
  <location ref="A20:B2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6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ED1352-A101-4202-8EF2-A2F21DEA65D4}" name="PivotTable8" cacheId="1089" applyNumberFormats="0" applyBorderFormats="0" applyFontFormats="0" applyPatternFormats="0" applyAlignmentFormats="0" applyWidthHeightFormats="1" dataCaption="Values" tag="02075973-de35-426b-b312-567ce0adc9ca" updatedVersion="8" minRefreshableVersion="3" subtotalHiddenItems="1" itemPrintTitles="1" createdVersion="5" indent="0" outline="1" outlineData="1" multipleFieldFilters="0" chartFormat="2">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dmission Flag" fld="3" subtotal="count" showDataAs="percentOfTotal" baseField="0" baseItem="0" numFmtId="10"/>
  </dataFields>
  <formats count="2">
    <format dxfId="62">
      <pivotArea outline="0" collapsedLevelsAreSubtotals="1" fieldPosition="0"/>
    </format>
    <format dxfId="63">
      <pivotArea outline="0" fieldPosition="0">
        <references count="1">
          <reference field="4294967294" count="1">
            <x v="1"/>
          </reference>
        </references>
      </pivotArea>
    </format>
  </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3513E2-D8F9-4D1D-8381-3DFECCA5E02E}" name="PivotTable6" cacheId="1086" applyNumberFormats="0" applyBorderFormats="0" applyFontFormats="0" applyPatternFormats="0" applyAlignmentFormats="0" applyWidthHeightFormats="1" dataCaption="Values" tag="3466d8e5-d41b-4bd2-8b55-137f6f0e241d" updatedVersion="8" minRefreshableVersion="3" subtotalHiddenItems="1" itemPrintTitles="1" createdVersion="5" indent="0" outline="1" outlineData="1" multipleFieldFilters="0" chartFormat="20">
  <location ref="P5:Q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4">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085DD0-088E-42BA-B2AE-009D5347A877}" name="PivotTable5" cacheId="1083" applyNumberFormats="0" applyBorderFormats="0" applyFontFormats="0" applyPatternFormats="0" applyAlignmentFormats="0" applyWidthHeightFormats="1" dataCaption="Values" tag="9a0f2d99-046e-499e-bef4-30b6ffc38637" updatedVersion="8" minRefreshableVersion="3" subtotalHiddenItems="1" itemPrintTitles="1" createdVersion="5" indent="0" outline="1" outlineData="1" multipleFieldFilters="0" chartFormat="15">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65">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F97F37-4FAA-42CC-BE28-5DE66414ABE3}" name="PivotTable4" cacheId="1080" applyNumberFormats="0" applyBorderFormats="0" applyFontFormats="0" applyPatternFormats="0" applyAlignmentFormats="0" applyWidthHeightFormats="1" dataCaption="Values" tag="ba6f2f63-24f8-45df-a7fa-cc9df5019ffa" updatedVersion="8" minRefreshableVersion="3" subtotalHiddenItems="1" itemPrintTitles="1" createdVersion="5" indent="0" outline="1" outlineData="1" multipleFieldFilters="0" chartFormat="11">
  <location ref="F5:G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860430-E5A9-412E-AC3F-AEA40D437EF0}" name="PivotTable3" cacheId="1077" applyNumberFormats="0" applyBorderFormats="0" applyFontFormats="0" applyPatternFormats="0" applyAlignmentFormats="0" applyWidthHeightFormats="1" dataCaption="Values" tag="c73244d7-00b8-49a0-a6ea-4f076e87f61b"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6">
      <pivotArea outline="0" collapsedLevelsAreSubtotals="1" fieldPosition="0"/>
    </format>
  </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7D2622-A6EF-444A-B6A0-5B2474A4AE13}" name="PivotTable2" cacheId="1074" applyNumberFormats="0" applyBorderFormats="0" applyFontFormats="0" applyPatternFormats="0" applyAlignmentFormats="0" applyWidthHeightFormats="1" dataCaption="Values" tag="285dfbdc-0305-4e8c-8bc6-401c23ccacb0"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7">
      <pivotArea outline="0" collapsedLevelsAreSubtotals="1" fieldPosition="0"/>
    </format>
  </format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720CAF-6AD8-4BC0-A4FE-4AD517E6B910}" name="PivotTable1" cacheId="1062" applyNumberFormats="0" applyBorderFormats="0" applyFontFormats="0" applyPatternFormats="0" applyAlignmentFormats="0" applyWidthHeightFormats="1" dataCaption="Values" tag="6fe37678-7db4-4810-b2f2-aef46dce15bf"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_Table].[Date (Month)].&amp;[Jul]"/>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921F80D-F2C9-42DC-846F-B2A4EA3F04CC}"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193549631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F0E398F-79DB-484A-A35D-827C4A926371}"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93549631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F1072A0-9C7F-48CB-8FBB-BD975416F03C}" cache="Slicer_Date__Month" caption="Date (Month)" showCaption="0" level="1" style="SlicerStyleDark2 2" rowHeight="144000"/>
  <slicer name="Date (Year)" xr10:uid="{443D62F0-5B88-49FD-94D6-F1FEA265EBAC}" cache="Slicer_Date__Year" caption="Date (Year)" columnCount="2" showCaption="0" level="1" style="SlicerStyleDark2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17003-005A-46C4-AEE8-DAF43C1F091E}">
  <dimension ref="A4:Q591"/>
  <sheetViews>
    <sheetView showGridLines="0" topLeftCell="A61" workbookViewId="0">
      <selection activeCell="A72" sqref="A72"/>
    </sheetView>
  </sheetViews>
  <sheetFormatPr defaultRowHeight="14.4" x14ac:dyDescent="0.3"/>
  <cols>
    <col min="1" max="1" width="31.77734375" bestFit="1" customWidth="1"/>
    <col min="2" max="2" width="25.77734375" bestFit="1" customWidth="1"/>
    <col min="3" max="3" width="27.44140625" bestFit="1" customWidth="1"/>
    <col min="6" max="6" width="23.33203125" bestFit="1" customWidth="1"/>
    <col min="11" max="11" width="12.44140625" bestFit="1" customWidth="1"/>
    <col min="16" max="16" width="12.44140625" bestFit="1" customWidth="1"/>
  </cols>
  <sheetData>
    <row r="4" spans="1:17" x14ac:dyDescent="0.3">
      <c r="A4" t="s">
        <v>1</v>
      </c>
      <c r="B4" s="2" t="s">
        <v>4</v>
      </c>
      <c r="C4" t="s">
        <v>0</v>
      </c>
      <c r="F4" t="s">
        <v>7</v>
      </c>
    </row>
    <row r="5" spans="1:17" x14ac:dyDescent="0.3">
      <c r="A5" s="1">
        <v>488</v>
      </c>
      <c r="B5" s="6" t="s">
        <v>27</v>
      </c>
      <c r="C5" s="1">
        <v>232</v>
      </c>
      <c r="F5" s="2" t="s">
        <v>4</v>
      </c>
      <c r="G5" t="s">
        <v>1</v>
      </c>
      <c r="K5" s="2" t="s">
        <v>4</v>
      </c>
      <c r="L5" t="s">
        <v>2</v>
      </c>
      <c r="P5" s="2" t="s">
        <v>4</v>
      </c>
      <c r="Q5" t="s">
        <v>3</v>
      </c>
    </row>
    <row r="6" spans="1:17" x14ac:dyDescent="0.3">
      <c r="B6" s="6" t="s">
        <v>28</v>
      </c>
      <c r="C6" s="1">
        <v>256</v>
      </c>
      <c r="F6" s="5">
        <v>45474</v>
      </c>
      <c r="G6" s="1">
        <v>17</v>
      </c>
      <c r="K6" s="5">
        <v>45474</v>
      </c>
      <c r="L6" s="3">
        <v>36.941176470588232</v>
      </c>
      <c r="P6" s="5">
        <v>45474</v>
      </c>
      <c r="Q6" s="3">
        <v>4.125</v>
      </c>
    </row>
    <row r="7" spans="1:17" x14ac:dyDescent="0.3">
      <c r="B7" s="6" t="s">
        <v>5</v>
      </c>
      <c r="C7" s="1">
        <v>488</v>
      </c>
      <c r="F7" s="5">
        <v>45475</v>
      </c>
      <c r="G7" s="1">
        <v>19</v>
      </c>
      <c r="K7" s="5">
        <v>45475</v>
      </c>
      <c r="L7" s="3">
        <v>30.842105263157894</v>
      </c>
      <c r="P7" s="5">
        <v>45475</v>
      </c>
      <c r="Q7" s="3">
        <v>5.333333333333333</v>
      </c>
    </row>
    <row r="8" spans="1:17" x14ac:dyDescent="0.3">
      <c r="F8" s="5">
        <v>45476</v>
      </c>
      <c r="G8" s="1">
        <v>12</v>
      </c>
      <c r="K8" s="5">
        <v>45476</v>
      </c>
      <c r="L8" s="3">
        <v>31.833333333333332</v>
      </c>
      <c r="P8" s="5">
        <v>45476</v>
      </c>
      <c r="Q8" s="3">
        <v>4.75</v>
      </c>
    </row>
    <row r="9" spans="1:17" x14ac:dyDescent="0.3">
      <c r="F9" s="5">
        <v>45477</v>
      </c>
      <c r="G9" s="1">
        <v>9</v>
      </c>
      <c r="K9" s="5">
        <v>45477</v>
      </c>
      <c r="L9" s="3">
        <v>33.777777777777779</v>
      </c>
      <c r="P9" s="5">
        <v>45477</v>
      </c>
      <c r="Q9" s="3">
        <v>2</v>
      </c>
    </row>
    <row r="10" spans="1:17" x14ac:dyDescent="0.3">
      <c r="A10" t="s">
        <v>2</v>
      </c>
      <c r="F10" s="5">
        <v>45478</v>
      </c>
      <c r="G10" s="1">
        <v>15</v>
      </c>
      <c r="K10" s="5">
        <v>45478</v>
      </c>
      <c r="L10" s="3">
        <v>30.466666666666665</v>
      </c>
      <c r="P10" s="5">
        <v>45478</v>
      </c>
      <c r="Q10" s="3">
        <v>8</v>
      </c>
    </row>
    <row r="11" spans="1:17" x14ac:dyDescent="0.3">
      <c r="A11" s="3">
        <v>35.19877049180328</v>
      </c>
      <c r="F11" s="5">
        <v>45479</v>
      </c>
      <c r="G11" s="1">
        <v>10</v>
      </c>
      <c r="K11" s="5">
        <v>45479</v>
      </c>
      <c r="L11" s="3">
        <v>38.799999999999997</v>
      </c>
      <c r="P11" s="5">
        <v>45479</v>
      </c>
      <c r="Q11" s="3">
        <v>3.5</v>
      </c>
    </row>
    <row r="12" spans="1:17" x14ac:dyDescent="0.3">
      <c r="F12" s="5">
        <v>45480</v>
      </c>
      <c r="G12" s="1">
        <v>18</v>
      </c>
      <c r="K12" s="5">
        <v>45480</v>
      </c>
      <c r="L12" s="3">
        <v>30.277777777777779</v>
      </c>
      <c r="P12" s="5">
        <v>45480</v>
      </c>
      <c r="Q12" s="3">
        <v>7</v>
      </c>
    </row>
    <row r="13" spans="1:17" x14ac:dyDescent="0.3">
      <c r="F13" s="5">
        <v>45481</v>
      </c>
      <c r="G13" s="1">
        <v>19</v>
      </c>
      <c r="K13" s="5">
        <v>45481</v>
      </c>
      <c r="L13" s="3">
        <v>35.157894736842103</v>
      </c>
      <c r="P13" s="5">
        <v>45481</v>
      </c>
      <c r="Q13" s="3">
        <v>3.5</v>
      </c>
    </row>
    <row r="14" spans="1:17" x14ac:dyDescent="0.3">
      <c r="F14" s="5">
        <v>45482</v>
      </c>
      <c r="G14" s="1">
        <v>19</v>
      </c>
      <c r="K14" s="5">
        <v>45482</v>
      </c>
      <c r="L14" s="3">
        <v>37.94736842105263</v>
      </c>
      <c r="P14" s="5">
        <v>45482</v>
      </c>
      <c r="Q14" s="3">
        <v>6.4</v>
      </c>
    </row>
    <row r="15" spans="1:17" x14ac:dyDescent="0.3">
      <c r="A15" t="s">
        <v>3</v>
      </c>
      <c r="F15" s="5">
        <v>45483</v>
      </c>
      <c r="G15" s="1">
        <v>13</v>
      </c>
      <c r="K15" s="5">
        <v>45483</v>
      </c>
      <c r="L15" s="3">
        <v>33.92307692307692</v>
      </c>
      <c r="P15" s="5">
        <v>45483</v>
      </c>
      <c r="Q15" s="3">
        <v>3.5</v>
      </c>
    </row>
    <row r="16" spans="1:17" x14ac:dyDescent="0.3">
      <c r="A16" s="3">
        <v>4.7876712328767121</v>
      </c>
      <c r="F16" s="5">
        <v>45484</v>
      </c>
      <c r="G16" s="1">
        <v>15</v>
      </c>
      <c r="K16" s="5">
        <v>45484</v>
      </c>
      <c r="L16" s="3">
        <v>33.200000000000003</v>
      </c>
      <c r="P16" s="5">
        <v>45484</v>
      </c>
      <c r="Q16" s="3">
        <v>6.5</v>
      </c>
    </row>
    <row r="17" spans="1:17" x14ac:dyDescent="0.3">
      <c r="F17" s="5">
        <v>45485</v>
      </c>
      <c r="G17" s="1">
        <v>25</v>
      </c>
      <c r="K17" s="5">
        <v>45485</v>
      </c>
      <c r="L17" s="3">
        <v>40.159999999999997</v>
      </c>
      <c r="P17" s="5">
        <v>45485</v>
      </c>
      <c r="Q17" s="3">
        <v>5.2857142857142856</v>
      </c>
    </row>
    <row r="18" spans="1:17" x14ac:dyDescent="0.3">
      <c r="F18" s="5">
        <v>45486</v>
      </c>
      <c r="G18" s="1">
        <v>19</v>
      </c>
      <c r="K18" s="5">
        <v>45486</v>
      </c>
      <c r="L18" s="3">
        <v>41.578947368421055</v>
      </c>
      <c r="P18" s="5">
        <v>45486</v>
      </c>
      <c r="Q18" s="3">
        <v>4.333333333333333</v>
      </c>
    </row>
    <row r="19" spans="1:17" x14ac:dyDescent="0.3">
      <c r="F19" s="5">
        <v>45487</v>
      </c>
      <c r="G19" s="1">
        <v>15</v>
      </c>
      <c r="K19" s="5">
        <v>45487</v>
      </c>
      <c r="L19" s="3">
        <v>36.866666666666667</v>
      </c>
      <c r="P19" s="5">
        <v>45487</v>
      </c>
      <c r="Q19" s="3">
        <v>3</v>
      </c>
    </row>
    <row r="20" spans="1:17" x14ac:dyDescent="0.3">
      <c r="A20" s="2" t="s">
        <v>4</v>
      </c>
      <c r="B20" t="s">
        <v>26</v>
      </c>
      <c r="F20" s="5">
        <v>45488</v>
      </c>
      <c r="G20" s="1">
        <v>14</v>
      </c>
      <c r="K20" s="5">
        <v>45488</v>
      </c>
      <c r="L20" s="3">
        <v>33.714285714285715</v>
      </c>
      <c r="P20" s="5">
        <v>45488</v>
      </c>
      <c r="Q20" s="3">
        <v>4.333333333333333</v>
      </c>
    </row>
    <row r="21" spans="1:17" x14ac:dyDescent="0.3">
      <c r="A21" s="6" t="s">
        <v>18</v>
      </c>
      <c r="B21" s="9">
        <v>62</v>
      </c>
      <c r="F21" s="5">
        <v>45489</v>
      </c>
      <c r="G21" s="1">
        <v>20</v>
      </c>
      <c r="K21" s="5">
        <v>45489</v>
      </c>
      <c r="L21" s="3">
        <v>33.700000000000003</v>
      </c>
      <c r="P21" s="5">
        <v>45489</v>
      </c>
      <c r="Q21" s="3">
        <v>3.3333333333333335</v>
      </c>
    </row>
    <row r="22" spans="1:17" x14ac:dyDescent="0.3">
      <c r="A22" s="6" t="s">
        <v>19</v>
      </c>
      <c r="B22" s="9">
        <v>73</v>
      </c>
      <c r="F22" s="5">
        <v>45490</v>
      </c>
      <c r="G22" s="1">
        <v>14</v>
      </c>
      <c r="K22" s="5">
        <v>45490</v>
      </c>
      <c r="L22" s="3">
        <v>34.642857142857146</v>
      </c>
      <c r="P22" s="5">
        <v>45490</v>
      </c>
      <c r="Q22" s="3">
        <v>2.5714285714285716</v>
      </c>
    </row>
    <row r="23" spans="1:17" x14ac:dyDescent="0.3">
      <c r="A23" s="6" t="s">
        <v>20</v>
      </c>
      <c r="B23" s="9">
        <v>49</v>
      </c>
      <c r="F23" s="5">
        <v>45491</v>
      </c>
      <c r="G23" s="1">
        <v>14</v>
      </c>
      <c r="K23" s="5">
        <v>45491</v>
      </c>
      <c r="L23" s="3">
        <v>36.5</v>
      </c>
      <c r="P23" s="5">
        <v>45491</v>
      </c>
      <c r="Q23" s="3">
        <v>3.75</v>
      </c>
    </row>
    <row r="24" spans="1:17" x14ac:dyDescent="0.3">
      <c r="A24" s="6" t="s">
        <v>21</v>
      </c>
      <c r="B24" s="9">
        <v>44</v>
      </c>
      <c r="F24" s="5">
        <v>45492</v>
      </c>
      <c r="G24" s="1">
        <v>17</v>
      </c>
      <c r="K24" s="5">
        <v>45492</v>
      </c>
      <c r="L24" s="3">
        <v>33.058823529411768</v>
      </c>
      <c r="P24" s="5">
        <v>45492</v>
      </c>
      <c r="Q24" s="3">
        <v>8.3333333333333339</v>
      </c>
    </row>
    <row r="25" spans="1:17" x14ac:dyDescent="0.3">
      <c r="A25" s="6" t="s">
        <v>22</v>
      </c>
      <c r="B25" s="9">
        <v>72</v>
      </c>
      <c r="F25" s="5">
        <v>45493</v>
      </c>
      <c r="G25" s="1">
        <v>16</v>
      </c>
      <c r="K25" s="5">
        <v>45493</v>
      </c>
      <c r="L25" s="3">
        <v>33.5625</v>
      </c>
      <c r="P25" s="5">
        <v>45493</v>
      </c>
      <c r="Q25" s="3">
        <v>3.75</v>
      </c>
    </row>
    <row r="26" spans="1:17" x14ac:dyDescent="0.3">
      <c r="A26" s="6" t="s">
        <v>23</v>
      </c>
      <c r="B26" s="9">
        <v>71</v>
      </c>
      <c r="F26" s="5">
        <v>45494</v>
      </c>
      <c r="G26" s="1">
        <v>18</v>
      </c>
      <c r="K26" s="5">
        <v>45494</v>
      </c>
      <c r="L26" s="3">
        <v>31.555555555555557</v>
      </c>
      <c r="P26" s="5">
        <v>45494</v>
      </c>
      <c r="Q26" s="3">
        <v>4.666666666666667</v>
      </c>
    </row>
    <row r="27" spans="1:17" x14ac:dyDescent="0.3">
      <c r="A27" s="6" t="s">
        <v>24</v>
      </c>
      <c r="B27" s="9">
        <v>59</v>
      </c>
      <c r="F27" s="5">
        <v>45495</v>
      </c>
      <c r="G27" s="1">
        <v>8</v>
      </c>
      <c r="K27" s="5">
        <v>45495</v>
      </c>
      <c r="L27" s="3">
        <v>38.375</v>
      </c>
      <c r="P27" s="5">
        <v>45495</v>
      </c>
      <c r="Q27" s="3">
        <v>5</v>
      </c>
    </row>
    <row r="28" spans="1:17" x14ac:dyDescent="0.3">
      <c r="A28" s="6" t="s">
        <v>25</v>
      </c>
      <c r="B28" s="9">
        <v>58</v>
      </c>
      <c r="F28" s="5">
        <v>45496</v>
      </c>
      <c r="G28" s="1">
        <v>17</v>
      </c>
      <c r="K28" s="5">
        <v>45496</v>
      </c>
      <c r="L28" s="3">
        <v>35.411764705882355</v>
      </c>
      <c r="P28" s="5">
        <v>45496</v>
      </c>
      <c r="Q28" s="3">
        <v>4.333333333333333</v>
      </c>
    </row>
    <row r="29" spans="1:17" x14ac:dyDescent="0.3">
      <c r="A29" s="6" t="s">
        <v>5</v>
      </c>
      <c r="B29" s="9">
        <v>488</v>
      </c>
      <c r="F29" s="5">
        <v>45497</v>
      </c>
      <c r="G29" s="1">
        <v>11</v>
      </c>
      <c r="K29" s="5">
        <v>45497</v>
      </c>
      <c r="L29" s="3">
        <v>34.909090909090907</v>
      </c>
      <c r="P29" s="5">
        <v>45497</v>
      </c>
      <c r="Q29" s="3">
        <v>4.666666666666667</v>
      </c>
    </row>
    <row r="30" spans="1:17" x14ac:dyDescent="0.3">
      <c r="F30" s="5">
        <v>45498</v>
      </c>
      <c r="G30" s="1">
        <v>15</v>
      </c>
      <c r="K30" s="5">
        <v>45498</v>
      </c>
      <c r="L30" s="3">
        <v>35.133333333333333</v>
      </c>
      <c r="P30" s="5">
        <v>45498</v>
      </c>
      <c r="Q30" s="3">
        <v>4.5</v>
      </c>
    </row>
    <row r="31" spans="1:17" x14ac:dyDescent="0.3">
      <c r="F31" s="5">
        <v>45499</v>
      </c>
      <c r="G31" s="1">
        <v>13</v>
      </c>
      <c r="K31" s="5">
        <v>45499</v>
      </c>
      <c r="L31" s="3">
        <v>35.07692307692308</v>
      </c>
      <c r="P31" s="5">
        <v>45499</v>
      </c>
      <c r="Q31" s="3">
        <v>6</v>
      </c>
    </row>
    <row r="32" spans="1:17" x14ac:dyDescent="0.3">
      <c r="F32" s="5">
        <v>45500</v>
      </c>
      <c r="G32" s="1">
        <v>17</v>
      </c>
      <c r="K32" s="5">
        <v>45500</v>
      </c>
      <c r="L32" s="3">
        <v>35.352941176470587</v>
      </c>
      <c r="P32" s="5">
        <v>45500</v>
      </c>
      <c r="Q32" s="3">
        <v>6.8888888888888893</v>
      </c>
    </row>
    <row r="33" spans="1:17" x14ac:dyDescent="0.3">
      <c r="F33" s="5">
        <v>45501</v>
      </c>
      <c r="G33" s="1">
        <v>20</v>
      </c>
      <c r="K33" s="5">
        <v>45501</v>
      </c>
      <c r="L33" s="3">
        <v>36.6</v>
      </c>
      <c r="P33" s="5">
        <v>45501</v>
      </c>
      <c r="Q33" s="3">
        <v>6.5714285714285712</v>
      </c>
    </row>
    <row r="34" spans="1:17" x14ac:dyDescent="0.3">
      <c r="F34" s="5">
        <v>45502</v>
      </c>
      <c r="G34" s="1">
        <v>20</v>
      </c>
      <c r="K34" s="5">
        <v>45502</v>
      </c>
      <c r="L34" s="3">
        <v>35.799999999999997</v>
      </c>
      <c r="P34" s="5">
        <v>45502</v>
      </c>
      <c r="Q34" s="3">
        <v>4.0999999999999996</v>
      </c>
    </row>
    <row r="35" spans="1:17" x14ac:dyDescent="0.3">
      <c r="F35" s="5">
        <v>45503</v>
      </c>
      <c r="G35" s="1">
        <v>13</v>
      </c>
      <c r="K35" s="5">
        <v>45503</v>
      </c>
      <c r="L35" s="3">
        <v>30.307692307692307</v>
      </c>
      <c r="P35" s="5">
        <v>45503</v>
      </c>
      <c r="Q35" s="3">
        <v>5</v>
      </c>
    </row>
    <row r="36" spans="1:17" x14ac:dyDescent="0.3">
      <c r="F36" s="5">
        <v>45504</v>
      </c>
      <c r="G36" s="1">
        <v>16</v>
      </c>
      <c r="K36" s="5">
        <v>45504</v>
      </c>
      <c r="L36" s="3">
        <v>42.75</v>
      </c>
      <c r="P36" s="5">
        <v>45504</v>
      </c>
      <c r="Q36" s="3">
        <v>5.4</v>
      </c>
    </row>
    <row r="37" spans="1:17" x14ac:dyDescent="0.3">
      <c r="F37" s="6" t="s">
        <v>5</v>
      </c>
      <c r="G37" s="1">
        <v>488</v>
      </c>
      <c r="K37" s="6" t="s">
        <v>5</v>
      </c>
      <c r="L37" s="3">
        <v>35.19877049180328</v>
      </c>
      <c r="P37" s="6" t="s">
        <v>5</v>
      </c>
      <c r="Q37" s="3">
        <v>4.7876712328767121</v>
      </c>
    </row>
    <row r="41" spans="1:17" x14ac:dyDescent="0.3">
      <c r="A41" s="2" t="s">
        <v>4</v>
      </c>
      <c r="B41" t="s">
        <v>8</v>
      </c>
      <c r="C41" t="s">
        <v>13</v>
      </c>
    </row>
    <row r="42" spans="1:17" x14ac:dyDescent="0.3">
      <c r="A42" s="6" t="s">
        <v>9</v>
      </c>
      <c r="B42" s="9">
        <v>266</v>
      </c>
      <c r="C42" s="10">
        <v>0.54508196721311475</v>
      </c>
    </row>
    <row r="43" spans="1:17" x14ac:dyDescent="0.3">
      <c r="A43" s="6" t="s">
        <v>10</v>
      </c>
      <c r="B43" s="9">
        <v>222</v>
      </c>
      <c r="C43" s="10">
        <v>0.45491803278688525</v>
      </c>
    </row>
    <row r="44" spans="1:17" x14ac:dyDescent="0.3">
      <c r="A44" s="6" t="s">
        <v>5</v>
      </c>
      <c r="B44" s="9">
        <v>488</v>
      </c>
      <c r="C44" s="10">
        <v>1</v>
      </c>
    </row>
    <row r="48" spans="1:17" x14ac:dyDescent="0.3">
      <c r="A48" s="12" t="s">
        <v>14</v>
      </c>
      <c r="B48" s="12" t="s">
        <v>17</v>
      </c>
      <c r="C48" s="12" t="s">
        <v>15</v>
      </c>
    </row>
    <row r="49" spans="1:3" x14ac:dyDescent="0.3">
      <c r="A49" s="11" t="str">
        <f>A42</f>
        <v>Admitted</v>
      </c>
      <c r="B49" s="11">
        <f t="shared" ref="B49:C50" si="0">B42</f>
        <v>266</v>
      </c>
      <c r="C49" s="13">
        <f t="shared" si="0"/>
        <v>0.54508196721311475</v>
      </c>
    </row>
    <row r="50" spans="1:3" x14ac:dyDescent="0.3">
      <c r="A50" s="11" t="str">
        <f>A43</f>
        <v>Not Admitted</v>
      </c>
      <c r="B50" s="11">
        <f t="shared" si="0"/>
        <v>222</v>
      </c>
      <c r="C50" s="13">
        <f t="shared" si="0"/>
        <v>0.45491803278688525</v>
      </c>
    </row>
    <row r="53" spans="1:3" x14ac:dyDescent="0.3">
      <c r="A53" s="2" t="s">
        <v>4</v>
      </c>
      <c r="B53" t="s">
        <v>8</v>
      </c>
    </row>
    <row r="54" spans="1:3" x14ac:dyDescent="0.3">
      <c r="A54" s="6" t="s">
        <v>11</v>
      </c>
      <c r="B54" s="9">
        <v>288</v>
      </c>
    </row>
    <row r="55" spans="1:3" x14ac:dyDescent="0.3">
      <c r="A55" s="6" t="s">
        <v>12</v>
      </c>
      <c r="B55" s="9">
        <v>200</v>
      </c>
    </row>
    <row r="56" spans="1:3" x14ac:dyDescent="0.3">
      <c r="A56" s="6" t="s">
        <v>5</v>
      </c>
      <c r="B56" s="9">
        <v>488</v>
      </c>
    </row>
    <row r="60" spans="1:3" x14ac:dyDescent="0.3">
      <c r="A60" s="2" t="s">
        <v>4</v>
      </c>
      <c r="B60" t="s">
        <v>0</v>
      </c>
    </row>
    <row r="61" spans="1:3" x14ac:dyDescent="0.3">
      <c r="A61" s="6" t="s">
        <v>36</v>
      </c>
      <c r="B61" s="1">
        <v>4</v>
      </c>
    </row>
    <row r="62" spans="1:3" x14ac:dyDescent="0.3">
      <c r="A62" s="6" t="s">
        <v>32</v>
      </c>
      <c r="B62" s="1">
        <v>7</v>
      </c>
    </row>
    <row r="63" spans="1:3" x14ac:dyDescent="0.3">
      <c r="A63" s="6" t="s">
        <v>29</v>
      </c>
      <c r="B63" s="1">
        <v>11</v>
      </c>
    </row>
    <row r="64" spans="1:3" x14ac:dyDescent="0.3">
      <c r="A64" s="6" t="s">
        <v>30</v>
      </c>
      <c r="B64" s="1">
        <v>11</v>
      </c>
    </row>
    <row r="65" spans="1:2" x14ac:dyDescent="0.3">
      <c r="A65" s="6" t="s">
        <v>35</v>
      </c>
      <c r="B65" s="1">
        <v>12</v>
      </c>
    </row>
    <row r="66" spans="1:2" x14ac:dyDescent="0.3">
      <c r="A66" s="6" t="s">
        <v>34</v>
      </c>
      <c r="B66" s="1">
        <v>60</v>
      </c>
    </row>
    <row r="67" spans="1:2" x14ac:dyDescent="0.3">
      <c r="A67" s="6" t="s">
        <v>31</v>
      </c>
      <c r="B67" s="1">
        <v>93</v>
      </c>
    </row>
    <row r="68" spans="1:2" x14ac:dyDescent="0.3">
      <c r="A68" s="6" t="s">
        <v>33</v>
      </c>
      <c r="B68" s="1">
        <v>290</v>
      </c>
    </row>
    <row r="69" spans="1:2" x14ac:dyDescent="0.3">
      <c r="A69" s="6" t="s">
        <v>5</v>
      </c>
      <c r="B69" s="1">
        <v>488</v>
      </c>
    </row>
    <row r="72" spans="1:2" x14ac:dyDescent="0.3">
      <c r="A72" s="2" t="s">
        <v>4</v>
      </c>
    </row>
    <row r="73" spans="1:2" x14ac:dyDescent="0.3">
      <c r="A73" s="6" t="s">
        <v>6</v>
      </c>
    </row>
    <row r="74" spans="1:2" x14ac:dyDescent="0.3">
      <c r="A74" s="6" t="s">
        <v>5</v>
      </c>
    </row>
    <row r="589" spans="2:3" x14ac:dyDescent="0.3">
      <c r="B589" s="12" t="s">
        <v>16</v>
      </c>
      <c r="C589" s="12" t="s">
        <v>15</v>
      </c>
    </row>
    <row r="590" spans="2:3" x14ac:dyDescent="0.3">
      <c r="B590" s="9">
        <v>4612</v>
      </c>
      <c r="C590" s="10">
        <v>0.50043402777777779</v>
      </c>
    </row>
    <row r="591" spans="2:3" x14ac:dyDescent="0.3">
      <c r="B591" s="9">
        <v>4604</v>
      </c>
      <c r="C591" s="10">
        <v>0.49956597222222221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CDC88-81E8-4644-A65A-491B0D9D96E5}">
  <dimension ref="A1:M16"/>
  <sheetViews>
    <sheetView showGridLines="0" tabSelected="1" zoomScale="150" zoomScaleNormal="150" workbookViewId="0">
      <selection activeCell="O8" sqref="O8"/>
    </sheetView>
  </sheetViews>
  <sheetFormatPr defaultRowHeight="14.4" x14ac:dyDescent="0.3"/>
  <sheetData>
    <row r="1" spans="1:13" x14ac:dyDescent="0.3">
      <c r="A1" s="4"/>
      <c r="B1" s="4"/>
      <c r="C1" s="4"/>
      <c r="D1" s="4"/>
      <c r="E1" s="4"/>
      <c r="F1" s="4"/>
      <c r="G1" s="4"/>
      <c r="H1" s="4"/>
      <c r="I1" s="4"/>
      <c r="J1" s="4"/>
      <c r="K1" s="4"/>
      <c r="L1" s="4"/>
      <c r="M1" s="4"/>
    </row>
    <row r="2" spans="1:13" x14ac:dyDescent="0.3">
      <c r="A2" s="4"/>
      <c r="B2" s="4"/>
      <c r="C2" s="4"/>
      <c r="D2" s="4"/>
      <c r="E2" s="4"/>
      <c r="F2" s="4"/>
      <c r="G2" s="4"/>
      <c r="H2" s="4"/>
      <c r="I2" s="4"/>
      <c r="J2" s="4"/>
      <c r="K2" s="4"/>
      <c r="L2" s="4"/>
      <c r="M2" s="4"/>
    </row>
    <row r="3" spans="1:13" x14ac:dyDescent="0.3">
      <c r="A3" s="4"/>
      <c r="B3" s="4"/>
      <c r="C3" s="4"/>
      <c r="D3" s="4"/>
      <c r="E3" s="4"/>
      <c r="F3" s="4"/>
      <c r="G3" s="4"/>
      <c r="H3" s="4"/>
      <c r="I3" s="4"/>
      <c r="J3" s="4"/>
      <c r="K3" s="4"/>
      <c r="L3" s="4"/>
      <c r="M3" s="4"/>
    </row>
    <row r="4" spans="1:13" x14ac:dyDescent="0.3">
      <c r="A4" s="4"/>
      <c r="B4" s="4"/>
      <c r="C4" s="4"/>
      <c r="D4" s="4"/>
      <c r="E4" s="4"/>
      <c r="F4" s="4"/>
      <c r="G4" s="4"/>
      <c r="H4" s="4"/>
      <c r="I4" s="4"/>
      <c r="J4" s="4"/>
      <c r="K4" s="4"/>
      <c r="L4" s="4"/>
      <c r="M4" s="4"/>
    </row>
    <row r="5" spans="1:13" x14ac:dyDescent="0.3">
      <c r="A5" s="4"/>
      <c r="B5" s="4"/>
      <c r="C5" s="4"/>
      <c r="D5" s="4"/>
      <c r="E5" s="4"/>
      <c r="F5" s="4"/>
      <c r="G5" s="4"/>
      <c r="H5" s="4"/>
      <c r="I5" s="4"/>
      <c r="J5" s="4"/>
      <c r="K5" s="4"/>
      <c r="L5" s="4"/>
      <c r="M5" s="4"/>
    </row>
    <row r="6" spans="1:13" x14ac:dyDescent="0.3">
      <c r="A6" s="4"/>
      <c r="B6" s="4"/>
      <c r="C6" s="4"/>
      <c r="D6" s="4"/>
      <c r="E6" s="4"/>
      <c r="F6" s="4"/>
      <c r="G6" s="4"/>
      <c r="H6" s="4"/>
      <c r="I6" s="4"/>
      <c r="J6" s="4"/>
      <c r="K6" s="4"/>
      <c r="L6" s="4"/>
      <c r="M6" s="4"/>
    </row>
    <row r="7" spans="1:13" x14ac:dyDescent="0.3">
      <c r="A7" s="4"/>
      <c r="B7" s="4"/>
      <c r="C7" s="4"/>
      <c r="D7" s="4"/>
      <c r="E7" s="4"/>
      <c r="F7" s="4"/>
      <c r="G7" s="4"/>
      <c r="H7" s="4"/>
      <c r="I7" s="4"/>
      <c r="J7" s="4"/>
      <c r="K7" s="4"/>
      <c r="L7" s="4"/>
      <c r="M7" s="4"/>
    </row>
    <row r="8" spans="1:13" x14ac:dyDescent="0.3">
      <c r="A8" s="4"/>
      <c r="B8" s="4"/>
      <c r="C8" s="4"/>
      <c r="D8" s="4"/>
      <c r="E8" s="4"/>
      <c r="F8" s="4"/>
      <c r="G8" s="4"/>
      <c r="H8" s="4"/>
      <c r="I8" s="4"/>
      <c r="J8" s="4"/>
      <c r="K8" s="4"/>
      <c r="L8" s="4"/>
      <c r="M8" s="4"/>
    </row>
    <row r="9" spans="1:13" x14ac:dyDescent="0.3">
      <c r="A9" s="4"/>
      <c r="B9" s="4"/>
      <c r="C9" s="4"/>
      <c r="D9" s="4"/>
      <c r="E9" s="4"/>
      <c r="F9" s="4"/>
      <c r="G9" s="4"/>
      <c r="H9" s="4"/>
      <c r="I9" s="4"/>
      <c r="J9" s="4"/>
      <c r="K9" s="4"/>
      <c r="L9" s="4"/>
      <c r="M9" s="4"/>
    </row>
    <row r="10" spans="1:13" x14ac:dyDescent="0.3">
      <c r="A10" s="4"/>
      <c r="B10" s="4"/>
      <c r="C10" s="4"/>
      <c r="D10" s="4"/>
      <c r="E10" s="4"/>
      <c r="F10" s="4"/>
      <c r="G10" s="4"/>
      <c r="H10" s="4"/>
      <c r="I10" s="4"/>
      <c r="J10" s="4"/>
      <c r="K10" s="4"/>
      <c r="L10" s="4"/>
      <c r="M10" s="4"/>
    </row>
    <row r="11" spans="1:13" x14ac:dyDescent="0.3">
      <c r="A11" s="4"/>
      <c r="B11" s="4"/>
      <c r="C11" s="4"/>
      <c r="D11" s="4"/>
      <c r="E11" s="4"/>
      <c r="F11" s="4"/>
      <c r="G11" s="4"/>
      <c r="H11" s="4"/>
      <c r="I11" s="4"/>
      <c r="J11" s="4"/>
      <c r="K11" s="4"/>
      <c r="L11" s="4"/>
      <c r="M11" s="4"/>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B251-CE93-4CC0-A816-FF52D1B218AD}">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DF545-B037-48F3-9E07-AD3D0BBFD43A}">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EF744-2670-4617-BCB1-6EBD85849A67}">
  <dimension ref="A1:S24"/>
  <sheetViews>
    <sheetView workbookViewId="0"/>
  </sheetViews>
  <sheetFormatPr defaultRowHeight="14.4" x14ac:dyDescent="0.3"/>
  <cols>
    <col min="1" max="16384" width="8.88671875" style="8"/>
  </cols>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E5D2F4-4599-4151-AEC5-7F28CAC8F15C}">
  <ds:schemaRefs/>
</ds:datastoreItem>
</file>

<file path=customXml/itemProps2.xml><?xml version="1.0" encoding="utf-8"?>
<ds:datastoreItem xmlns:ds="http://schemas.openxmlformats.org/officeDocument/2006/customXml" ds:itemID="{1DCF93DE-D7C7-4C68-A448-CA66A1344B61}">
  <ds:schemaRefs/>
</ds:datastoreItem>
</file>

<file path=customXml/itemProps3.xml><?xml version="1.0" encoding="utf-8"?>
<ds:datastoreItem xmlns:ds="http://schemas.openxmlformats.org/officeDocument/2006/customXml" ds:itemID="{FCD334CE-71A3-44E6-8BE3-F79B508FD6C8}">
  <ds:schemaRefs/>
</ds:datastoreItem>
</file>

<file path=customXml/itemProps4.xml><?xml version="1.0" encoding="utf-8"?>
<ds:datastoreItem xmlns:ds="http://schemas.openxmlformats.org/officeDocument/2006/customXml" ds:itemID="{2E1CD174-392E-4DD7-AC56-ED6842B56D00}">
  <ds:schemaRefs/>
</ds:datastoreItem>
</file>

<file path=customXml/itemProps5.xml><?xml version="1.0" encoding="utf-8"?>
<ds:datastoreItem xmlns:ds="http://schemas.openxmlformats.org/officeDocument/2006/customXml" ds:itemID="{937A59F2-C306-4930-AB98-57ED505C6152}">
  <ds:schemaRefs/>
</ds:datastoreItem>
</file>

<file path=customXml/itemProps6.xml><?xml version="1.0" encoding="utf-8"?>
<ds:datastoreItem xmlns:ds="http://schemas.openxmlformats.org/officeDocument/2006/customXml" ds:itemID="{305D0998-6E7C-4CFB-9476-C26BDA6C1CB1}">
  <ds:schemaRefs/>
</ds:datastoreItem>
</file>

<file path=customXml/itemProps7.xml><?xml version="1.0" encoding="utf-8"?>
<ds:datastoreItem xmlns:ds="http://schemas.openxmlformats.org/officeDocument/2006/customXml" ds:itemID="{B9559826-3595-4926-83E4-8936DF6BDCC7}">
  <ds:schemaRefs/>
</ds:datastoreItem>
</file>

<file path=customXml/itemProps8.xml><?xml version="1.0" encoding="utf-8"?>
<ds:datastoreItem xmlns:ds="http://schemas.openxmlformats.org/officeDocument/2006/customXml" ds:itemID="{15223753-C52D-439E-83E3-215919AD79DE}">
  <ds:schemaRefs>
    <ds:schemaRef ds:uri="http://schemas.microsoft.com/DataMashup"/>
  </ds:schemaRefs>
</ds:datastoreItem>
</file>

<file path=customXml/itemProps9.xml><?xml version="1.0" encoding="utf-8"?>
<ds:datastoreItem xmlns:ds="http://schemas.openxmlformats.org/officeDocument/2006/customXml" ds:itemID="{3F629F2E-0C42-4980-B2B3-5736C32DBD1F}">
  <ds:schemaRefs/>
</ds:datastoreItem>
</file>

<file path=customXml/itemProps10.xml><?xml version="1.0" encoding="utf-8"?>
<ds:datastoreItem xmlns:ds="http://schemas.openxmlformats.org/officeDocument/2006/customXml" ds:itemID="{7459D5E9-4B73-4893-B1B6-492B9D1E3135}">
  <ds:schemaRefs/>
</ds:datastoreItem>
</file>

<file path=customXml/itemProps11.xml><?xml version="1.0" encoding="utf-8"?>
<ds:datastoreItem xmlns:ds="http://schemas.openxmlformats.org/officeDocument/2006/customXml" ds:itemID="{70C20C1F-2751-4281-9A27-FC4823431A49}">
  <ds:schemaRefs/>
</ds:datastoreItem>
</file>

<file path=customXml/itemProps12.xml><?xml version="1.0" encoding="utf-8"?>
<ds:datastoreItem xmlns:ds="http://schemas.openxmlformats.org/officeDocument/2006/customXml" ds:itemID="{9F5C477E-E47A-4107-B6B0-54F4F0ED52AF}">
  <ds:schemaRefs/>
</ds:datastoreItem>
</file>

<file path=customXml/itemProps13.xml><?xml version="1.0" encoding="utf-8"?>
<ds:datastoreItem xmlns:ds="http://schemas.openxmlformats.org/officeDocument/2006/customXml" ds:itemID="{42510F85-D9F4-45E9-8135-03C2BD60C87D}">
  <ds:schemaRefs/>
</ds:datastoreItem>
</file>

<file path=customXml/itemProps14.xml><?xml version="1.0" encoding="utf-8"?>
<ds:datastoreItem xmlns:ds="http://schemas.openxmlformats.org/officeDocument/2006/customXml" ds:itemID="{9C467893-5DFA-4B0E-AC30-885AB736D714}">
  <ds:schemaRefs/>
</ds:datastoreItem>
</file>

<file path=customXml/itemProps15.xml><?xml version="1.0" encoding="utf-8"?>
<ds:datastoreItem xmlns:ds="http://schemas.openxmlformats.org/officeDocument/2006/customXml" ds:itemID="{63B643B1-0297-496F-8F65-A691CF503FCC}">
  <ds:schemaRefs/>
</ds:datastoreItem>
</file>

<file path=customXml/itemProps16.xml><?xml version="1.0" encoding="utf-8"?>
<ds:datastoreItem xmlns:ds="http://schemas.openxmlformats.org/officeDocument/2006/customXml" ds:itemID="{AAC4734E-77F6-440E-A485-C972FC7CB89C}">
  <ds:schemaRefs/>
</ds:datastoreItem>
</file>

<file path=customXml/itemProps17.xml><?xml version="1.0" encoding="utf-8"?>
<ds:datastoreItem xmlns:ds="http://schemas.openxmlformats.org/officeDocument/2006/customXml" ds:itemID="{2133DE4C-5F32-4AFA-A6E0-A79C6A129F5B}">
  <ds:schemaRefs/>
</ds:datastoreItem>
</file>

<file path=customXml/itemProps18.xml><?xml version="1.0" encoding="utf-8"?>
<ds:datastoreItem xmlns:ds="http://schemas.openxmlformats.org/officeDocument/2006/customXml" ds:itemID="{EBB33B79-97A2-4F12-AD35-A33D3236F7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Patient satisfaction score</vt:lpstr>
      <vt:lpstr>Average wait time</vt:lpstr>
      <vt:lpstr>daily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GOSWAMI</dc:creator>
  <cp:lastModifiedBy>AMAN GOSWAMI</cp:lastModifiedBy>
  <dcterms:created xsi:type="dcterms:W3CDTF">2025-08-15T08:58:27Z</dcterms:created>
  <dcterms:modified xsi:type="dcterms:W3CDTF">2025-08-15T18:02:18Z</dcterms:modified>
</cp:coreProperties>
</file>